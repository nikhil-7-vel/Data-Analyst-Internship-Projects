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duSkills\Scholarx\"/>
    </mc:Choice>
  </mc:AlternateContent>
  <xr:revisionPtr revIDLastSave="0" documentId="8_{DE1FC846-6A06-499C-B0BB-2C03BD0032D7}" xr6:coauthVersionLast="47" xr6:coauthVersionMax="47" xr10:uidLastSave="{00000000-0000-0000-0000-000000000000}"/>
  <bookViews>
    <workbookView xWindow="-98" yWindow="-98" windowWidth="21795" windowHeight="12975" activeTab="2" xr2:uid="{1F237C54-D69F-4544-B7C1-AF50F6A7BDE4}"/>
  </bookViews>
  <sheets>
    <sheet name="Sheet2" sheetId="2" r:id="rId1"/>
    <sheet name="Sheet1" sheetId="1" r:id="rId2"/>
    <sheet name="Dashboard" sheetId="3" r:id="rId3"/>
  </sheet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2" i="1" l="1"/>
  <c r="G52" i="1"/>
  <c r="I51" i="1"/>
  <c r="I32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" i="1"/>
  <c r="A3" i="1"/>
  <c r="F22" i="2"/>
  <c r="J52" i="1" l="1"/>
</calcChain>
</file>

<file path=xl/sharedStrings.xml><?xml version="1.0" encoding="utf-8"?>
<sst xmlns="http://schemas.openxmlformats.org/spreadsheetml/2006/main" count="308" uniqueCount="136">
  <si>
    <t>Order ID</t>
  </si>
  <si>
    <t>Date</t>
  </si>
  <si>
    <t>Customer name</t>
  </si>
  <si>
    <t>Product</t>
  </si>
  <si>
    <t>Category</t>
  </si>
  <si>
    <t>Region</t>
  </si>
  <si>
    <t>Quantity</t>
  </si>
  <si>
    <t xml:space="preserve">Unit Price </t>
  </si>
  <si>
    <t>Sales Amount</t>
  </si>
  <si>
    <t>Gokul</t>
  </si>
  <si>
    <t>Praveen</t>
  </si>
  <si>
    <t>Mahesh</t>
  </si>
  <si>
    <t>Deogar</t>
  </si>
  <si>
    <t xml:space="preserve">Karthik </t>
  </si>
  <si>
    <t>Nikhil</t>
  </si>
  <si>
    <t>Siva</t>
  </si>
  <si>
    <t>Sam</t>
  </si>
  <si>
    <t>Tom</t>
  </si>
  <si>
    <t>Ravi</t>
  </si>
  <si>
    <t>Prem</t>
  </si>
  <si>
    <t>Santhosh</t>
  </si>
  <si>
    <t>Ashwath</t>
  </si>
  <si>
    <t>Joseph</t>
  </si>
  <si>
    <t>Vijay</t>
  </si>
  <si>
    <t>Prakash</t>
  </si>
  <si>
    <t>Pranitha</t>
  </si>
  <si>
    <t>Suriya</t>
  </si>
  <si>
    <t>Aarya</t>
  </si>
  <si>
    <t>Meera</t>
  </si>
  <si>
    <t>Trisha</t>
  </si>
  <si>
    <t>Praveena</t>
  </si>
  <si>
    <t>Pooja</t>
  </si>
  <si>
    <t>Manju</t>
  </si>
  <si>
    <t>Akhila</t>
  </si>
  <si>
    <t>Subash</t>
  </si>
  <si>
    <t>Jay</t>
  </si>
  <si>
    <t>Ravi Kumar</t>
  </si>
  <si>
    <t>Nachiketh</t>
  </si>
  <si>
    <t>Fazil</t>
  </si>
  <si>
    <t>Mobile</t>
  </si>
  <si>
    <t>Headphones</t>
  </si>
  <si>
    <t>Bluetooth Speaker</t>
  </si>
  <si>
    <t>Mac Book</t>
  </si>
  <si>
    <t>Kia Sonet</t>
  </si>
  <si>
    <t>Mahindra Thar</t>
  </si>
  <si>
    <t xml:space="preserve"> Beard Trimmer</t>
  </si>
  <si>
    <t>Hero Splender</t>
  </si>
  <si>
    <t>Honda Shine</t>
  </si>
  <si>
    <t>Earpods</t>
  </si>
  <si>
    <t>Smart Watch</t>
  </si>
  <si>
    <t>Kia Seltos</t>
  </si>
  <si>
    <t>Maruti 800</t>
  </si>
  <si>
    <t>Range Rover</t>
  </si>
  <si>
    <t>Toyata Fortuner</t>
  </si>
  <si>
    <t>Electronics</t>
  </si>
  <si>
    <t>Vehicle</t>
  </si>
  <si>
    <t xml:space="preserve">T Shirts </t>
  </si>
  <si>
    <t>Wood Land Shoes</t>
  </si>
  <si>
    <t>Apparel</t>
  </si>
  <si>
    <t>Foot Wear</t>
  </si>
  <si>
    <t>Gucci Sun Glasses</t>
  </si>
  <si>
    <t>Accessories</t>
  </si>
  <si>
    <t>North</t>
  </si>
  <si>
    <t>West</t>
  </si>
  <si>
    <t>South</t>
  </si>
  <si>
    <t>East</t>
  </si>
  <si>
    <t xml:space="preserve"> Samsung Mobile</t>
  </si>
  <si>
    <t xml:space="preserve"> Iphone Mobile</t>
  </si>
  <si>
    <t xml:space="preserve"> Dell Laptop</t>
  </si>
  <si>
    <t xml:space="preserve"> Hp Laptop</t>
  </si>
  <si>
    <t xml:space="preserve"> Boat Headphones</t>
  </si>
  <si>
    <t xml:space="preserve"> Vivo Mobile</t>
  </si>
  <si>
    <t xml:space="preserve"> Lenevo Laptop</t>
  </si>
  <si>
    <t>Pranav</t>
  </si>
  <si>
    <t>Deepan</t>
  </si>
  <si>
    <t>Suswin</t>
  </si>
  <si>
    <t>Akash</t>
  </si>
  <si>
    <t>Virat</t>
  </si>
  <si>
    <t>Vikash</t>
  </si>
  <si>
    <t>Manudeep</t>
  </si>
  <si>
    <t>Tanmay</t>
  </si>
  <si>
    <t>Sujith</t>
  </si>
  <si>
    <t>Sachin</t>
  </si>
  <si>
    <t>Ramasamy</t>
  </si>
  <si>
    <t>Kuppusamy</t>
  </si>
  <si>
    <t>Harsha Vardhan</t>
  </si>
  <si>
    <t>Vishnu</t>
  </si>
  <si>
    <t>Tarun</t>
  </si>
  <si>
    <t>Hari Bala</t>
  </si>
  <si>
    <t>Sangeeth</t>
  </si>
  <si>
    <t>Ragul</t>
  </si>
  <si>
    <t>Sathvik</t>
  </si>
  <si>
    <t>MRF Bat</t>
  </si>
  <si>
    <t>Chess Board</t>
  </si>
  <si>
    <t>Hockey Stick</t>
  </si>
  <si>
    <t>Tata Punch</t>
  </si>
  <si>
    <t>GT 350</t>
  </si>
  <si>
    <t>Maruti Omni</t>
  </si>
  <si>
    <t>Mahindra Scoripo</t>
  </si>
  <si>
    <t>Swift</t>
  </si>
  <si>
    <t>Swift desire</t>
  </si>
  <si>
    <t>RX 100</t>
  </si>
  <si>
    <t>Iron Box</t>
  </si>
  <si>
    <t>Washing Machine</t>
  </si>
  <si>
    <t>Ceiling Fan</t>
  </si>
  <si>
    <t>Study Table</t>
  </si>
  <si>
    <t>Hercules Cycle</t>
  </si>
  <si>
    <t>Yoga Mat</t>
  </si>
  <si>
    <t>Egg Boiler</t>
  </si>
  <si>
    <t>Dish Washer</t>
  </si>
  <si>
    <t>Power Bank</t>
  </si>
  <si>
    <t>Sports</t>
  </si>
  <si>
    <t>Toy &amp; Games</t>
  </si>
  <si>
    <t>Furniture</t>
  </si>
  <si>
    <t>Fitness</t>
  </si>
  <si>
    <t>Dhanush</t>
  </si>
  <si>
    <t>Hoodie</t>
  </si>
  <si>
    <t>Row Labels</t>
  </si>
  <si>
    <t>Grand Total</t>
  </si>
  <si>
    <t>Sum of Sales Amount</t>
  </si>
  <si>
    <t>Sum of Quantity</t>
  </si>
  <si>
    <t>Count of Order ID</t>
  </si>
  <si>
    <t>Jan</t>
  </si>
  <si>
    <t>Feb</t>
  </si>
  <si>
    <t>Mar</t>
  </si>
  <si>
    <t>Apr</t>
  </si>
  <si>
    <t>May</t>
  </si>
  <si>
    <t>Nov</t>
  </si>
  <si>
    <t>Dec</t>
  </si>
  <si>
    <t>Column1</t>
  </si>
  <si>
    <t>Average Order Value</t>
  </si>
  <si>
    <t>Total Orders
50</t>
  </si>
  <si>
    <t>Quantity Sold
103</t>
  </si>
  <si>
    <t>Avg Order Value
₹2,55,154</t>
  </si>
  <si>
    <r>
      <t xml:space="preserve">                                                                  </t>
    </r>
    <r>
      <rPr>
        <sz val="22"/>
        <color rgb="FF00B050"/>
        <rFont val="Calibri"/>
        <family val="2"/>
        <scheme val="minor"/>
      </rPr>
      <t>SALES KPI DASHBOARD</t>
    </r>
  </si>
  <si>
    <r>
      <t xml:space="preserve">Total Sales
</t>
    </r>
    <r>
      <rPr>
        <b/>
        <sz val="18"/>
        <color rgb="FF0070C0"/>
        <rFont val="Calibri"/>
        <family val="2"/>
        <scheme val="minor"/>
      </rPr>
      <t>₹1,27,57,700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</si>
</sst>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rgb="FF0070C0"/>
      <name val="Calibri"/>
      <family val="2"/>
      <scheme val="minor"/>
    </font>
    <font>
      <sz val="22"/>
      <color rgb="FF0070C0"/>
      <name val="Calibri"/>
      <family val="2"/>
      <scheme val="minor"/>
    </font>
    <font>
      <sz val="22"/>
      <color rgb="FF00B050"/>
      <name val="Calibri"/>
      <family val="2"/>
      <scheme val="minor"/>
    </font>
    <font>
      <b/>
      <sz val="18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0" fillId="0" borderId="0" xfId="0" applyFill="1"/>
    <xf numFmtId="0" fontId="3" fillId="0" borderId="0" xfId="0" applyFont="1"/>
    <xf numFmtId="0" fontId="3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6" fillId="0" borderId="0" xfId="0" applyFont="1" applyAlignment="1"/>
  </cellXfs>
  <cellStyles count="1">
    <cellStyle name="Normal" xfId="0" builtinId="0"/>
  </cellStyles>
  <dxfs count="24"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[Sales_KPI_Dashboard_NikhilVelayudham.xlsx]Sheet2!PivotTable4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Sheet2!$A$17:$A$24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Sheet2!$B$17:$B$24</c:f>
              <c:numCache>
                <c:formatCode>"₹"\ #,##0.00</c:formatCode>
                <c:ptCount val="7"/>
                <c:pt idx="0">
                  <c:v>2832000</c:v>
                </c:pt>
                <c:pt idx="1">
                  <c:v>88000</c:v>
                </c:pt>
                <c:pt idx="2">
                  <c:v>1050000</c:v>
                </c:pt>
                <c:pt idx="3">
                  <c:v>5541000</c:v>
                </c:pt>
                <c:pt idx="4">
                  <c:v>1151800</c:v>
                </c:pt>
                <c:pt idx="5">
                  <c:v>441600</c:v>
                </c:pt>
                <c:pt idx="6">
                  <c:v>1653300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6-4811-B1AA-D40FFA041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99471"/>
        <c:axId val="64700431"/>
      </c:lineChart>
      <c:catAx>
        <c:axId val="6469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00431"/>
        <c:crosses val="autoZero"/>
        <c:auto val="1"/>
        <c:lblAlgn val="ctr"/>
        <c:lblOffset val="100"/>
        <c:noMultiLvlLbl val="0"/>
      </c:catAx>
      <c:valAx>
        <c:axId val="6470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9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[Sales_KPI_Dashboard_NikhilVelayudham.xlsx]Sheet2!PivotTable1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"₹"\ #,##0.00</c:formatCode>
                <c:ptCount val="4"/>
                <c:pt idx="0">
                  <c:v>2888200</c:v>
                </c:pt>
                <c:pt idx="1">
                  <c:v>2994200</c:v>
                </c:pt>
                <c:pt idx="2">
                  <c:v>1843700</c:v>
                </c:pt>
                <c:pt idx="3">
                  <c:v>5031600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B-4E9B-BB3F-7AE300A18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64725391"/>
        <c:axId val="64719631"/>
      </c:barChart>
      <c:catAx>
        <c:axId val="6472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9631"/>
        <c:crosses val="autoZero"/>
        <c:auto val="1"/>
        <c:lblAlgn val="ctr"/>
        <c:lblOffset val="100"/>
        <c:noMultiLvlLbl val="0"/>
      </c:catAx>
      <c:valAx>
        <c:axId val="64719631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2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[Sales_KPI_Dashboard_NikhilVelayudham.xlsx]Sheet2!PivotTable2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34-4522-BE49-3B0E29E722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34-4522-BE49-3B0E29E722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34-4522-BE49-3B0E29E722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334-4522-BE49-3B0E29E722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334-4522-BE49-3B0E29E722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334-4522-BE49-3B0E29E722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334-4522-BE49-3B0E29E7228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334-4522-BE49-3B0E29E7228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334-4522-BE49-3B0E29E7228A}"/>
              </c:ext>
            </c:extLst>
          </c:dPt>
          <c:cat>
            <c:strRef>
              <c:f>Sheet2!$E$4:$E$13</c:f>
              <c:strCache>
                <c:ptCount val="9"/>
                <c:pt idx="0">
                  <c:v>Accessories</c:v>
                </c:pt>
                <c:pt idx="1">
                  <c:v>Apparel</c:v>
                </c:pt>
                <c:pt idx="2">
                  <c:v>Electronics</c:v>
                </c:pt>
                <c:pt idx="3">
                  <c:v>Fitness</c:v>
                </c:pt>
                <c:pt idx="4">
                  <c:v>Foot Wear</c:v>
                </c:pt>
                <c:pt idx="5">
                  <c:v>Furniture</c:v>
                </c:pt>
                <c:pt idx="6">
                  <c:v>Sports</c:v>
                </c:pt>
                <c:pt idx="7">
                  <c:v>Toy &amp; Games</c:v>
                </c:pt>
                <c:pt idx="8">
                  <c:v>Vehicle</c:v>
                </c:pt>
              </c:strCache>
            </c:strRef>
          </c:cat>
          <c:val>
            <c:numRef>
              <c:f>Sheet2!$F$4:$F$13</c:f>
              <c:numCache>
                <c:formatCode>"₹"\ #,##0.00</c:formatCode>
                <c:ptCount val="9"/>
                <c:pt idx="0">
                  <c:v>510000</c:v>
                </c:pt>
                <c:pt idx="1">
                  <c:v>980000</c:v>
                </c:pt>
                <c:pt idx="2">
                  <c:v>915500</c:v>
                </c:pt>
                <c:pt idx="3">
                  <c:v>121000</c:v>
                </c:pt>
                <c:pt idx="4">
                  <c:v>52000</c:v>
                </c:pt>
                <c:pt idx="5">
                  <c:v>1200</c:v>
                </c:pt>
                <c:pt idx="6">
                  <c:v>197000</c:v>
                </c:pt>
                <c:pt idx="7">
                  <c:v>240000</c:v>
                </c:pt>
                <c:pt idx="8">
                  <c:v>9741000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334-4522-BE49-3B0E29E72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[Sales_KPI_Dashboard_NikhilVelayudham.xlsx]Sheet2!PivotTable8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Sheet2!$L$4:$L$14</c:f>
              <c:strCache>
                <c:ptCount val="10"/>
                <c:pt idx="0">
                  <c:v>Mahindra Scoripo</c:v>
                </c:pt>
                <c:pt idx="1">
                  <c:v>Range Rover</c:v>
                </c:pt>
                <c:pt idx="2">
                  <c:v>Hoodie</c:v>
                </c:pt>
                <c:pt idx="3">
                  <c:v>Swift desire</c:v>
                </c:pt>
                <c:pt idx="4">
                  <c:v>Swift</c:v>
                </c:pt>
                <c:pt idx="5">
                  <c:v>Toyata Fortuner</c:v>
                </c:pt>
                <c:pt idx="6">
                  <c:v>Gucci Sun Glasses</c:v>
                </c:pt>
                <c:pt idx="7">
                  <c:v>Tata Punch</c:v>
                </c:pt>
                <c:pt idx="8">
                  <c:v>GT 350</c:v>
                </c:pt>
                <c:pt idx="9">
                  <c:v>Kia Seltos</c:v>
                </c:pt>
              </c:strCache>
            </c:strRef>
          </c:cat>
          <c:val>
            <c:numRef>
              <c:f>Sheet2!$M$4:$M$14</c:f>
              <c:numCache>
                <c:formatCode>"₹"\ #,##0.00</c:formatCode>
                <c:ptCount val="10"/>
                <c:pt idx="0">
                  <c:v>3100000</c:v>
                </c:pt>
                <c:pt idx="1">
                  <c:v>2400000</c:v>
                </c:pt>
                <c:pt idx="2">
                  <c:v>910000</c:v>
                </c:pt>
                <c:pt idx="3">
                  <c:v>800000</c:v>
                </c:pt>
                <c:pt idx="4">
                  <c:v>700000</c:v>
                </c:pt>
                <c:pt idx="5">
                  <c:v>550000</c:v>
                </c:pt>
                <c:pt idx="6">
                  <c:v>510000</c:v>
                </c:pt>
                <c:pt idx="7">
                  <c:v>500000</c:v>
                </c:pt>
                <c:pt idx="8">
                  <c:v>400000</c:v>
                </c:pt>
                <c:pt idx="9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0-4565-94A3-6754443AB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9117487"/>
        <c:axId val="309105967"/>
      </c:barChart>
      <c:catAx>
        <c:axId val="30911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105967"/>
        <c:crosses val="autoZero"/>
        <c:auto val="1"/>
        <c:lblAlgn val="ctr"/>
        <c:lblOffset val="100"/>
        <c:noMultiLvlLbl val="0"/>
      </c:catAx>
      <c:valAx>
        <c:axId val="30910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11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538163</xdr:colOff>
      <xdr:row>8</xdr:row>
      <xdr:rowOff>219075</xdr:rowOff>
    </xdr:from>
    <xdr:to>
      <xdr:col>14</xdr:col>
      <xdr:colOff>166688</xdr:colOff>
      <xdr:row>25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CEF98E-F213-4816-96E5-EA6467E35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219074</xdr:colOff>
      <xdr:row>27</xdr:row>
      <xdr:rowOff>157162</xdr:rowOff>
    </xdr:from>
    <xdr:to>
      <xdr:col>7</xdr:col>
      <xdr:colOff>280988</xdr:colOff>
      <xdr:row>47</xdr:row>
      <xdr:rowOff>161924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B6B454-F964-43C5-9677-7356058C8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27</xdr:row>
      <xdr:rowOff>157162</xdr:rowOff>
    </xdr:from>
    <xdr:to>
      <xdr:col>15</xdr:col>
      <xdr:colOff>595314</xdr:colOff>
      <xdr:row>47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DC2B0BD-3A04-4A64-9503-61CA0024F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647699</xdr:colOff>
      <xdr:row>54</xdr:row>
      <xdr:rowOff>90488</xdr:rowOff>
    </xdr:from>
    <xdr:to>
      <xdr:col>13</xdr:col>
      <xdr:colOff>142874</xdr:colOff>
      <xdr:row>74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ECE9C78-D1A6-4221-B8E7-E3BE14AD5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" refreshedDate="46181.841462962962" createdVersion="8" refreshedVersion="8" minRefreshableVersion="3" recordCount="50" xr:uid="{7C242D5E-D90E-448A-9243-60881B1F40F1}">
  <cacheSource type="worksheet">
    <worksheetSource name="Table1"/>
  </cacheSource>
  <cacheFields count="12">
    <cacheField name="Order ID" numFmtId="0">
      <sharedItems containsSemiMixedTypes="0" containsString="0" containsNumber="1" containsInteger="1" minValue="1" maxValue="50"/>
    </cacheField>
    <cacheField name="Date" numFmtId="14">
      <sharedItems containsSemiMixedTypes="0" containsNonDate="0" containsDate="1" containsString="0" minDate="2025-11-11T00:00:00" maxDate="2026-05-28T00:00:00" count="49">
        <d v="2025-11-11T00:00:00"/>
        <d v="2025-11-13T00:00:00"/>
        <d v="2025-11-15T00:00:00"/>
        <d v="2025-11-17T00:00:00"/>
        <d v="2025-11-19T00:00:00"/>
        <d v="2025-11-21T00:00:00"/>
        <d v="2025-11-23T00:00:00"/>
        <d v="2025-11-25T00:00:00"/>
        <d v="2025-11-27T00:00:00"/>
        <d v="2025-11-29T00:00:00"/>
        <d v="2025-12-01T00:00:00"/>
        <d v="2025-12-03T00:00:00"/>
        <d v="2025-12-05T00:00:00"/>
        <d v="2025-12-07T00:00:00"/>
        <d v="2025-12-09T00:00:00"/>
        <d v="2025-12-10T00:00:00"/>
        <d v="2025-12-11T00:00:00"/>
        <d v="2025-12-12T00:00:00"/>
        <d v="2025-12-13T00:00:00"/>
        <d v="2025-12-19T00:00:00"/>
        <d v="2025-12-20T00:00:00"/>
        <d v="2025-12-21T00:00:00"/>
        <d v="2025-12-23T00:00:00"/>
        <d v="2025-12-25T00:00:00"/>
        <d v="2025-12-28T00:00:00"/>
        <d v="2026-01-03T00:00:00"/>
        <d v="2026-01-05T00:00:00"/>
        <d v="2026-01-09T00:00:00"/>
        <d v="2026-02-23T00:00:00"/>
        <d v="2026-03-25T00:00:00"/>
        <d v="2026-03-26T00:00:00"/>
        <d v="2026-04-11T00:00:00"/>
        <d v="2026-04-13T00:00:00"/>
        <d v="2026-04-15T00:00:00"/>
        <d v="2026-04-17T00:00:00"/>
        <d v="2026-04-19T00:00:00"/>
        <d v="2026-04-21T00:00:00"/>
        <d v="2026-04-23T00:00:00"/>
        <d v="2026-04-25T00:00:00"/>
        <d v="2026-05-01T00:00:00"/>
        <d v="2026-05-04T00:00:00"/>
        <d v="2026-05-07T00:00:00"/>
        <d v="2026-05-09T00:00:00"/>
        <d v="2026-05-13T00:00:00"/>
        <d v="2026-05-19T00:00:00"/>
        <d v="2026-05-21T00:00:00"/>
        <d v="2026-05-23T00:00:00"/>
        <d v="2026-05-24T00:00:00"/>
        <d v="2026-05-27T00:00:00"/>
      </sharedItems>
      <fieldGroup par="11"/>
    </cacheField>
    <cacheField name="Customer name" numFmtId="0">
      <sharedItems/>
    </cacheField>
    <cacheField name="Product" numFmtId="0">
      <sharedItems count="45">
        <s v="Wood Land Shoes"/>
        <s v=" Iphone Mobile"/>
        <s v=" Beard Trimmer"/>
        <s v=" Samsung Mobile"/>
        <s v=" Dell Laptop"/>
        <s v=" Hp Laptop"/>
        <s v="T Shirts "/>
        <s v=" Boat Headphones"/>
        <s v="Bluetooth Speaker"/>
        <s v=" Vivo Mobile"/>
        <s v="Gucci Sun Glasses"/>
        <s v="Mac Book"/>
        <s v="Headphones"/>
        <s v="Mobile"/>
        <s v="Kia Sonet"/>
        <s v="Mahindra Thar"/>
        <s v="Hero Splender"/>
        <s v="Honda Shine"/>
        <s v=" Lenevo Laptop"/>
        <s v="Earpods"/>
        <s v="Smart Watch"/>
        <s v="Kia Seltos"/>
        <s v="Maruti 800"/>
        <s v="Range Rover"/>
        <s v="Toyata Fortuner"/>
        <s v="Tata Punch"/>
        <s v="GT 350"/>
        <s v="Maruti Omni"/>
        <s v="Mahindra Scoripo"/>
        <s v="MRF Bat"/>
        <s v="Chess Board"/>
        <s v="Hockey Stick"/>
        <s v="Swift"/>
        <s v="Swift desire"/>
        <s v="RX 100"/>
        <s v="Iron Box"/>
        <s v="Washing Machine"/>
        <s v="Ceiling Fan"/>
        <s v="Study Table"/>
        <s v="Hercules Cycle"/>
        <s v="Yoga Mat"/>
        <s v="Egg Boiler"/>
        <s v="Dish Washer"/>
        <s v="Power Bank"/>
        <s v="Hoodie"/>
      </sharedItems>
    </cacheField>
    <cacheField name="Category" numFmtId="0">
      <sharedItems count="9">
        <s v="Foot Wear"/>
        <s v="Electronics"/>
        <s v="Apparel"/>
        <s v="Accessories"/>
        <s v="Vehicle"/>
        <s v="Sports"/>
        <s v="Toy &amp; Games"/>
        <s v="Furniture"/>
        <s v="Fitness"/>
      </sharedItems>
    </cacheField>
    <cacheField name="Region" numFmtId="0">
      <sharedItems count="4">
        <s v="North"/>
        <s v="West"/>
        <s v="South"/>
        <s v="East"/>
      </sharedItems>
    </cacheField>
    <cacheField name="Quantity" numFmtId="0">
      <sharedItems containsSemiMixedTypes="0" containsString="0" containsNumber="1" containsInteger="1" minValue="1" maxValue="11"/>
    </cacheField>
    <cacheField name="Unit Price " numFmtId="164">
      <sharedItems containsSemiMixedTypes="0" containsString="0" containsNumber="1" containsInteger="1" minValue="900" maxValue="3100000"/>
    </cacheField>
    <cacheField name="Sales Amount" numFmtId="164">
      <sharedItems containsSemiMixedTypes="0" containsString="0" containsNumber="1" containsInteger="1" minValue="900" maxValue="3100000"/>
    </cacheField>
    <cacheField name="Months (Date)" numFmtId="0" databaseField="0">
      <fieldGroup base="1">
        <rangePr groupBy="months" startDate="2025-11-11T00:00:00" endDate="2026-05-28T00:00:00"/>
        <groupItems count="14">
          <s v="&lt;11-1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05-2026"/>
        </groupItems>
      </fieldGroup>
    </cacheField>
    <cacheField name="Quarters (Date)" numFmtId="0" databaseField="0">
      <fieldGroup base="1">
        <rangePr groupBy="quarters" startDate="2025-11-11T00:00:00" endDate="2026-05-28T00:00:00"/>
        <groupItems count="6">
          <s v="&lt;11-11-2025"/>
          <s v="Qtr1"/>
          <s v="Qtr2"/>
          <s v="Qtr3"/>
          <s v="Qtr4"/>
          <s v="&gt;28-05-2026"/>
        </groupItems>
      </fieldGroup>
    </cacheField>
    <cacheField name="Years (Date)" numFmtId="0" databaseField="0">
      <fieldGroup base="1">
        <rangePr groupBy="years" startDate="2025-11-11T00:00:00" endDate="2026-05-28T00:00:00"/>
        <groupItems count="4">
          <s v="&lt;11-11-2025"/>
          <s v="2025"/>
          <s v="2026"/>
          <s v="&gt;28-05-2026"/>
        </groupItems>
      </fieldGroup>
    </cacheField>
  </cacheFields>
  <extLst>
    <ext xmlns:x14="http://schemas.microsoft.com/office/spreadsheetml/2009/9/main" uri="{725AE2AE-9491-48be-B2B4-4EB974FC3084}">
      <x14:pivotCacheDefinition pivotCacheId="1520045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x v="0"/>
    <s v="Gokul"/>
    <x v="0"/>
    <x v="0"/>
    <x v="0"/>
    <n v="1"/>
    <n v="52000"/>
    <n v="52000"/>
  </r>
  <r>
    <n v="2"/>
    <x v="1"/>
    <s v="Praveen"/>
    <x v="1"/>
    <x v="1"/>
    <x v="0"/>
    <n v="1"/>
    <n v="120000"/>
    <n v="120000"/>
  </r>
  <r>
    <n v="3"/>
    <x v="2"/>
    <s v="Mahesh"/>
    <x v="2"/>
    <x v="1"/>
    <x v="1"/>
    <n v="1"/>
    <n v="7000"/>
    <n v="7000"/>
  </r>
  <r>
    <n v="4"/>
    <x v="3"/>
    <s v="Deogar"/>
    <x v="3"/>
    <x v="1"/>
    <x v="0"/>
    <n v="1"/>
    <n v="53000"/>
    <n v="53000"/>
  </r>
  <r>
    <n v="5"/>
    <x v="4"/>
    <s v="Karthik "/>
    <x v="4"/>
    <x v="1"/>
    <x v="2"/>
    <n v="1"/>
    <n v="61200"/>
    <n v="61200"/>
  </r>
  <r>
    <n v="6"/>
    <x v="5"/>
    <s v="Nikhil"/>
    <x v="5"/>
    <x v="1"/>
    <x v="1"/>
    <n v="1"/>
    <n v="55400"/>
    <n v="55400"/>
  </r>
  <r>
    <n v="7"/>
    <x v="6"/>
    <s v="Siva"/>
    <x v="6"/>
    <x v="2"/>
    <x v="0"/>
    <n v="5"/>
    <n v="14000"/>
    <n v="70000"/>
  </r>
  <r>
    <n v="8"/>
    <x v="7"/>
    <s v="Sam"/>
    <x v="7"/>
    <x v="1"/>
    <x v="2"/>
    <n v="1"/>
    <n v="8000"/>
    <n v="8000"/>
  </r>
  <r>
    <n v="9"/>
    <x v="8"/>
    <s v="Tom"/>
    <x v="8"/>
    <x v="1"/>
    <x v="2"/>
    <n v="1"/>
    <n v="5000"/>
    <n v="5000"/>
  </r>
  <r>
    <n v="10"/>
    <x v="9"/>
    <s v="Ravi"/>
    <x v="8"/>
    <x v="1"/>
    <x v="2"/>
    <n v="2"/>
    <n v="5000"/>
    <n v="10000"/>
  </r>
  <r>
    <n v="11"/>
    <x v="10"/>
    <s v="Prem"/>
    <x v="9"/>
    <x v="1"/>
    <x v="1"/>
    <n v="1"/>
    <n v="27000"/>
    <n v="27000"/>
  </r>
  <r>
    <n v="12"/>
    <x v="11"/>
    <s v="Santhosh"/>
    <x v="10"/>
    <x v="3"/>
    <x v="1"/>
    <n v="3"/>
    <n v="170000"/>
    <n v="510000"/>
  </r>
  <r>
    <n v="13"/>
    <x v="12"/>
    <s v="Ashwath"/>
    <x v="11"/>
    <x v="1"/>
    <x v="1"/>
    <n v="1"/>
    <n v="90000"/>
    <n v="90000"/>
  </r>
  <r>
    <n v="14"/>
    <x v="13"/>
    <s v="Joseph"/>
    <x v="12"/>
    <x v="1"/>
    <x v="0"/>
    <n v="4"/>
    <n v="33400"/>
    <n v="133600"/>
  </r>
  <r>
    <n v="15"/>
    <x v="14"/>
    <s v="Vijay"/>
    <x v="11"/>
    <x v="1"/>
    <x v="3"/>
    <n v="1"/>
    <n v="90000"/>
    <n v="90000"/>
  </r>
  <r>
    <n v="16"/>
    <x v="15"/>
    <s v="Prakash"/>
    <x v="13"/>
    <x v="1"/>
    <x v="2"/>
    <n v="1"/>
    <n v="60000"/>
    <n v="60000"/>
  </r>
  <r>
    <n v="17"/>
    <x v="16"/>
    <s v="Pranitha"/>
    <x v="14"/>
    <x v="4"/>
    <x v="3"/>
    <n v="1"/>
    <n v="230000"/>
    <n v="230000"/>
  </r>
  <r>
    <n v="18"/>
    <x v="17"/>
    <s v="Suriya"/>
    <x v="15"/>
    <x v="4"/>
    <x v="2"/>
    <n v="1"/>
    <n v="250000"/>
    <n v="250000"/>
  </r>
  <r>
    <n v="19"/>
    <x v="18"/>
    <s v="Aarya"/>
    <x v="16"/>
    <x v="4"/>
    <x v="2"/>
    <n v="1"/>
    <n v="88000"/>
    <n v="88000"/>
  </r>
  <r>
    <n v="20"/>
    <x v="19"/>
    <s v="Meera"/>
    <x v="17"/>
    <x v="4"/>
    <x v="0"/>
    <n v="1"/>
    <n v="90000"/>
    <n v="90000"/>
  </r>
  <r>
    <n v="21"/>
    <x v="20"/>
    <s v="Trisha"/>
    <x v="18"/>
    <x v="1"/>
    <x v="3"/>
    <n v="1"/>
    <n v="69000"/>
    <n v="69000"/>
  </r>
  <r>
    <n v="22"/>
    <x v="21"/>
    <s v="Praveena"/>
    <x v="19"/>
    <x v="1"/>
    <x v="3"/>
    <n v="1"/>
    <n v="1300"/>
    <n v="1300"/>
  </r>
  <r>
    <n v="23"/>
    <x v="22"/>
    <s v="Pooja"/>
    <x v="20"/>
    <x v="1"/>
    <x v="3"/>
    <n v="3"/>
    <n v="1800"/>
    <n v="5400"/>
  </r>
  <r>
    <n v="24"/>
    <x v="23"/>
    <s v="Manju"/>
    <x v="20"/>
    <x v="1"/>
    <x v="0"/>
    <n v="3"/>
    <n v="1500"/>
    <n v="4500"/>
  </r>
  <r>
    <n v="25"/>
    <x v="24"/>
    <s v="Akhila"/>
    <x v="19"/>
    <x v="1"/>
    <x v="2"/>
    <n v="3"/>
    <n v="1500"/>
    <n v="4500"/>
  </r>
  <r>
    <n v="26"/>
    <x v="25"/>
    <s v="Subash"/>
    <x v="21"/>
    <x v="4"/>
    <x v="2"/>
    <n v="1"/>
    <n v="300000"/>
    <n v="300000"/>
  </r>
  <r>
    <n v="27"/>
    <x v="26"/>
    <s v="Jay"/>
    <x v="22"/>
    <x v="4"/>
    <x v="2"/>
    <n v="2"/>
    <n v="66000"/>
    <n v="132000"/>
  </r>
  <r>
    <n v="28"/>
    <x v="27"/>
    <s v="Fazil"/>
    <x v="23"/>
    <x v="4"/>
    <x v="0"/>
    <n v="2"/>
    <n v="1200000"/>
    <n v="2400000"/>
  </r>
  <r>
    <n v="29"/>
    <x v="28"/>
    <s v="Ravi Kumar"/>
    <x v="16"/>
    <x v="4"/>
    <x v="1"/>
    <n v="1"/>
    <n v="88000"/>
    <n v="88000"/>
  </r>
  <r>
    <n v="30"/>
    <x v="29"/>
    <s v="Nachiketh"/>
    <x v="24"/>
    <x v="4"/>
    <x v="1"/>
    <n v="1"/>
    <n v="550000"/>
    <n v="550000"/>
  </r>
  <r>
    <n v="31"/>
    <x v="30"/>
    <s v="Pranav"/>
    <x v="25"/>
    <x v="4"/>
    <x v="3"/>
    <n v="1"/>
    <n v="500000"/>
    <n v="500000"/>
  </r>
  <r>
    <n v="32"/>
    <x v="31"/>
    <s v="Deepan"/>
    <x v="26"/>
    <x v="4"/>
    <x v="1"/>
    <n v="1"/>
    <n v="400000"/>
    <n v="400000"/>
  </r>
  <r>
    <n v="33"/>
    <x v="32"/>
    <s v="Suswin"/>
    <x v="27"/>
    <x v="4"/>
    <x v="0"/>
    <n v="1"/>
    <n v="60000"/>
    <n v="60000"/>
  </r>
  <r>
    <n v="34"/>
    <x v="33"/>
    <s v="Akash"/>
    <x v="28"/>
    <x v="4"/>
    <x v="1"/>
    <n v="1"/>
    <n v="3100000"/>
    <n v="3100000"/>
  </r>
  <r>
    <n v="35"/>
    <x v="34"/>
    <s v="Virat"/>
    <x v="29"/>
    <x v="5"/>
    <x v="1"/>
    <n v="7"/>
    <n v="11000"/>
    <n v="77000"/>
  </r>
  <r>
    <n v="36"/>
    <x v="35"/>
    <s v="Vikash"/>
    <x v="30"/>
    <x v="6"/>
    <x v="3"/>
    <n v="8"/>
    <n v="30000"/>
    <n v="240000"/>
  </r>
  <r>
    <n v="37"/>
    <x v="35"/>
    <s v="Manudeep"/>
    <x v="31"/>
    <x v="5"/>
    <x v="3"/>
    <n v="4"/>
    <n v="30000"/>
    <n v="120000"/>
  </r>
  <r>
    <n v="38"/>
    <x v="36"/>
    <s v="Tanmay"/>
    <x v="32"/>
    <x v="4"/>
    <x v="3"/>
    <n v="1"/>
    <n v="700000"/>
    <n v="700000"/>
  </r>
  <r>
    <n v="39"/>
    <x v="37"/>
    <s v="Sujith"/>
    <x v="33"/>
    <x v="4"/>
    <x v="2"/>
    <n v="1"/>
    <n v="800000"/>
    <n v="800000"/>
  </r>
  <r>
    <n v="40"/>
    <x v="38"/>
    <s v="Sachin"/>
    <x v="34"/>
    <x v="4"/>
    <x v="2"/>
    <n v="1"/>
    <n v="44000"/>
    <n v="44000"/>
  </r>
  <r>
    <n v="41"/>
    <x v="39"/>
    <s v="Ramasamy"/>
    <x v="35"/>
    <x v="1"/>
    <x v="2"/>
    <n v="2"/>
    <n v="17000"/>
    <n v="34000"/>
  </r>
  <r>
    <n v="42"/>
    <x v="40"/>
    <s v="Kuppusamy"/>
    <x v="36"/>
    <x v="1"/>
    <x v="2"/>
    <n v="1"/>
    <n v="47000"/>
    <n v="47000"/>
  </r>
  <r>
    <n v="43"/>
    <x v="41"/>
    <s v="Harsha Vardhan"/>
    <x v="37"/>
    <x v="1"/>
    <x v="0"/>
    <n v="1"/>
    <n v="900"/>
    <n v="900"/>
  </r>
  <r>
    <n v="44"/>
    <x v="42"/>
    <s v="Vishnu"/>
    <x v="38"/>
    <x v="7"/>
    <x v="0"/>
    <n v="1"/>
    <n v="1200"/>
    <n v="1200"/>
  </r>
  <r>
    <n v="45"/>
    <x v="43"/>
    <s v="Tarun"/>
    <x v="39"/>
    <x v="4"/>
    <x v="0"/>
    <n v="1"/>
    <n v="9000"/>
    <n v="9000"/>
  </r>
  <r>
    <n v="46"/>
    <x v="44"/>
    <s v="Hari Bala"/>
    <x v="40"/>
    <x v="8"/>
    <x v="1"/>
    <n v="11"/>
    <n v="11000"/>
    <n v="121000"/>
  </r>
  <r>
    <n v="47"/>
    <x v="45"/>
    <s v="Sangeeth"/>
    <x v="41"/>
    <x v="1"/>
    <x v="1"/>
    <n v="1"/>
    <n v="1200"/>
    <n v="1200"/>
  </r>
  <r>
    <n v="48"/>
    <x v="46"/>
    <s v="Ragul"/>
    <x v="42"/>
    <x v="1"/>
    <x v="1"/>
    <n v="1"/>
    <n v="5000"/>
    <n v="5000"/>
  </r>
  <r>
    <n v="49"/>
    <x v="47"/>
    <s v="Sathvik"/>
    <x v="43"/>
    <x v="1"/>
    <x v="3"/>
    <n v="3"/>
    <n v="7500"/>
    <n v="22500"/>
  </r>
  <r>
    <n v="50"/>
    <x v="48"/>
    <s v="Dhanush"/>
    <x v="44"/>
    <x v="2"/>
    <x v="3"/>
    <n v="7"/>
    <n v="130000"/>
    <n v="91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B712D-E501-4DD2-8A68-099ACA266133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L3:M14" firstHeaderRow="1" firstDataRow="1" firstDataCol="1"/>
  <pivotFields count="12">
    <pivotField showAll="0"/>
    <pivotField numFmtId="14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axis="axisRow" showAll="0" measureFilter="1" sortType="descending">
      <items count="46">
        <item x="2"/>
        <item x="7"/>
        <item x="4"/>
        <item x="5"/>
        <item x="1"/>
        <item x="18"/>
        <item x="3"/>
        <item x="9"/>
        <item x="8"/>
        <item x="37"/>
        <item x="30"/>
        <item x="42"/>
        <item x="19"/>
        <item x="41"/>
        <item x="26"/>
        <item x="10"/>
        <item x="12"/>
        <item x="39"/>
        <item x="16"/>
        <item x="31"/>
        <item x="17"/>
        <item x="44"/>
        <item x="35"/>
        <item x="21"/>
        <item x="14"/>
        <item x="11"/>
        <item x="28"/>
        <item x="15"/>
        <item x="22"/>
        <item x="27"/>
        <item x="13"/>
        <item x="29"/>
        <item x="43"/>
        <item x="23"/>
        <item x="34"/>
        <item x="20"/>
        <item x="38"/>
        <item x="32"/>
        <item x="33"/>
        <item x="6"/>
        <item x="25"/>
        <item x="24"/>
        <item x="36"/>
        <item x="0"/>
        <item x="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dataField="1" numFmtId="164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11">
    <i>
      <x v="26"/>
    </i>
    <i>
      <x v="33"/>
    </i>
    <i>
      <x v="21"/>
    </i>
    <i>
      <x v="38"/>
    </i>
    <i>
      <x v="37"/>
    </i>
    <i>
      <x v="41"/>
    </i>
    <i>
      <x v="15"/>
    </i>
    <i>
      <x v="40"/>
    </i>
    <i>
      <x v="14"/>
    </i>
    <i>
      <x v="23"/>
    </i>
    <i t="grand">
      <x/>
    </i>
  </rowItems>
  <colItems count="1">
    <i/>
  </colItems>
  <dataFields count="1">
    <dataField name="Sum of Sales Amount" fld="8" baseField="0" baseItem="0" numFmtId="164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72D53-4191-4E49-8ADF-BB10D11A663F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16:B24" firstHeaderRow="1" firstDataRow="1" firstDataCol="1"/>
  <pivotFields count="12">
    <pivotField showAll="0"/>
    <pivotField axis="axisRow" numFmtId="14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showAll="0"/>
    <pivotField showAll="0"/>
    <pivotField showAll="0"/>
    <pivotField showAll="0"/>
    <pivotField numFmtId="164" showAll="0"/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9"/>
    <field x="1"/>
  </rowFields>
  <rowItems count="8">
    <i>
      <x v="1"/>
    </i>
    <i>
      <x v="2"/>
    </i>
    <i>
      <x v="3"/>
    </i>
    <i>
      <x v="4"/>
    </i>
    <i>
      <x v="5"/>
    </i>
    <i>
      <x v="11"/>
    </i>
    <i>
      <x v="12"/>
    </i>
    <i t="grand">
      <x/>
    </i>
  </rowItems>
  <colItems count="1">
    <i/>
  </colItems>
  <dataFields count="1">
    <dataField name="Sum of Sales Amount" fld="8" baseField="0" baseItem="0" numFmtId="164"/>
  </dataFields>
  <chartFormats count="1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6F5BF-B129-4A3F-B188-427596D7CF89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1:D22" firstHeaderRow="1" firstDataRow="1" firstDataCol="0"/>
  <pivotFields count="12">
    <pivotField dataField="1" showAll="0"/>
    <pivotField numFmtId="14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Items count="1">
    <i/>
  </rowItems>
  <colItems count="1">
    <i/>
  </colItems>
  <dataFields count="1">
    <dataField name="Count of Order ID" fld="0" subtotal="count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9BA31-E31C-4706-99BC-766A1844217A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6:F17" firstHeaderRow="1" firstDataRow="1" firstDataCol="0"/>
  <pivotFields count="12">
    <pivotField showAll="0"/>
    <pivotField numFmtId="14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numFmtId="164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Items count="1">
    <i/>
  </rowItems>
  <colItems count="1">
    <i/>
  </colItems>
  <dataFields count="1">
    <dataField name="Sum of Quantity" fld="6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79506-7A7A-48F5-9CC8-75F601DA7343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49" firstHeaderRow="1" firstDataRow="1" firstDataCol="1"/>
  <pivotFields count="12">
    <pivotField showAll="0"/>
    <pivotField numFmtId="14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axis="axisRow" showAll="0">
      <items count="46">
        <item x="2"/>
        <item x="7"/>
        <item x="4"/>
        <item x="5"/>
        <item x="1"/>
        <item x="18"/>
        <item x="3"/>
        <item x="9"/>
        <item x="8"/>
        <item x="37"/>
        <item x="30"/>
        <item x="42"/>
        <item x="19"/>
        <item x="41"/>
        <item x="26"/>
        <item x="10"/>
        <item x="12"/>
        <item x="39"/>
        <item x="16"/>
        <item x="31"/>
        <item x="17"/>
        <item x="44"/>
        <item x="35"/>
        <item x="21"/>
        <item x="14"/>
        <item x="11"/>
        <item x="28"/>
        <item x="15"/>
        <item x="22"/>
        <item x="27"/>
        <item x="13"/>
        <item x="29"/>
        <item x="43"/>
        <item x="23"/>
        <item x="34"/>
        <item x="20"/>
        <item x="38"/>
        <item x="32"/>
        <item x="33"/>
        <item x="6"/>
        <item x="25"/>
        <item x="24"/>
        <item x="36"/>
        <item x="0"/>
        <item x="40"/>
        <item t="default"/>
      </items>
    </pivotField>
    <pivotField showAll="0"/>
    <pivotField showAll="0"/>
    <pivotField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Sum of Sales Amoun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67D49-9F23-4DE8-B5E4-1501D373C689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3:F13" firstHeaderRow="1" firstDataRow="1" firstDataCol="1"/>
  <pivotFields count="12">
    <pivotField showAll="0"/>
    <pivotField numFmtId="14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showAll="0"/>
    <pivotField axis="axisRow" showAll="0">
      <items count="10">
        <item x="3"/>
        <item x="2"/>
        <item x="1"/>
        <item x="8"/>
        <item x="0"/>
        <item x="7"/>
        <item x="5"/>
        <item x="6"/>
        <item x="4"/>
        <item t="default"/>
      </items>
    </pivotField>
    <pivotField showAll="0">
      <items count="5">
        <item x="3"/>
        <item h="1" x="0"/>
        <item h="1" x="2"/>
        <item h="1" x="1"/>
        <item t="default"/>
      </items>
    </pivotField>
    <pivotField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 Amount" fld="8" baseField="0" baseItem="0" numFmtId="164"/>
  </dataFields>
  <chartFormats count="10"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9092E-C373-4E2C-944D-8D716FFF583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8" firstHeaderRow="1" firstDataRow="1" firstDataCol="1"/>
  <pivotFields count="12">
    <pivotField showAll="0"/>
    <pivotField numFmtId="14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showAll="0">
      <items count="46">
        <item x="2"/>
        <item x="7"/>
        <item x="4"/>
        <item x="5"/>
        <item x="1"/>
        <item x="18"/>
        <item x="3"/>
        <item x="9"/>
        <item x="8"/>
        <item x="37"/>
        <item x="30"/>
        <item x="42"/>
        <item x="19"/>
        <item x="41"/>
        <item x="26"/>
        <item x="10"/>
        <item x="12"/>
        <item x="39"/>
        <item x="16"/>
        <item x="31"/>
        <item x="17"/>
        <item x="44"/>
        <item x="35"/>
        <item x="21"/>
        <item x="14"/>
        <item x="11"/>
        <item x="28"/>
        <item x="15"/>
        <item x="22"/>
        <item x="27"/>
        <item x="13"/>
        <item x="29"/>
        <item x="43"/>
        <item x="23"/>
        <item x="34"/>
        <item x="20"/>
        <item x="38"/>
        <item x="32"/>
        <item x="33"/>
        <item x="6"/>
        <item x="25"/>
        <item x="24"/>
        <item x="36"/>
        <item x="0"/>
        <item x="40"/>
        <item t="default"/>
      </items>
    </pivotField>
    <pivotField showAll="0">
      <items count="10">
        <item x="3"/>
        <item x="2"/>
        <item x="1"/>
        <item x="8"/>
        <item x="0"/>
        <item x="7"/>
        <item x="5"/>
        <item x="6"/>
        <item x="4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8" baseField="0" baseItem="0" numFmtId="164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DD6DF-67EB-4E57-89A5-3EE9E9D30E2A}" name="Table1" displayName="Table1" ref="A1:J52" totalsRowCount="1" headerRowDxfId="23" dataDxfId="22">
  <autoFilter ref="A1:J51" xr:uid="{7B7DD6DF-67EB-4E57-89A5-3EE9E9D30E2A}"/>
  <tableColumns count="10">
    <tableColumn id="1" xr3:uid="{20105862-A5A4-401B-A0AF-890730194B4B}" name="Order ID" dataDxfId="21" totalsRowDxfId="20"/>
    <tableColumn id="2" xr3:uid="{92146297-DEFC-4168-9DDB-3707B011104A}" name="Date" dataDxfId="19" totalsRowDxfId="4"/>
    <tableColumn id="3" xr3:uid="{59CB44C6-E864-4D44-9A81-6AC4FB686ECC}" name="Customer name" dataDxfId="18" totalsRowDxfId="17"/>
    <tableColumn id="4" xr3:uid="{1DFE7FAD-8593-4D1C-956C-1BAC48232A1F}" name="Product" dataDxfId="16" totalsRowDxfId="15"/>
    <tableColumn id="5" xr3:uid="{CA69F69B-2734-4DB0-983A-D08CF6DD1DC6}" name="Category" dataDxfId="14" totalsRowDxfId="13"/>
    <tableColumn id="6" xr3:uid="{3B046CEB-D10D-4A88-8742-5E1A77269342}" name="Region" dataDxfId="12" totalsRowDxfId="11"/>
    <tableColumn id="7" xr3:uid="{198DB3B1-9C69-447A-8F60-BC2E43CBE6A5}" name="Quantity" totalsRowFunction="custom" dataDxfId="10" totalsRowDxfId="9">
      <totalsRowFormula>COUNT(Table1[Quantity])</totalsRowFormula>
    </tableColumn>
    <tableColumn id="8" xr3:uid="{A19E3E1A-42D6-4DA3-B149-1850986EA00C}" name="Unit Price " dataDxfId="8" totalsRowDxfId="3"/>
    <tableColumn id="9" xr3:uid="{C95CDA19-7542-4B0D-BAB1-540D256DB5EA}" name="Sales Amount" totalsRowFunction="custom" dataDxfId="7" totalsRowDxfId="2">
      <calculatedColumnFormula>G2*H2</calculatedColumnFormula>
      <totalsRowFormula>SUM(Table1[[#Headers],[#Data],[Sales Amount]])</totalsRowFormula>
    </tableColumn>
    <tableColumn id="10" xr3:uid="{D93A0457-0A18-4A03-8A51-57FE62A0B1A3}" name="Column1" totalsRowFunction="custom" dataDxfId="6" totalsRowDxfId="5">
      <totalsRowFormula>Table1[[#Totals],[Sales Amount]]/Table1[[#Totals],[Quantity]]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C149C-E0B4-49F5-8BAE-D3AC2992F8AE}">
  <dimension ref="A3:M49"/>
  <sheetViews>
    <sheetView workbookViewId="0">
      <selection activeCell="E4" sqref="E4"/>
    </sheetView>
  </sheetViews>
  <sheetFormatPr defaultRowHeight="14.25" x14ac:dyDescent="0.45"/>
  <cols>
    <col min="1" max="1" width="12.06640625" bestFit="1" customWidth="1"/>
    <col min="2" max="2" width="18.33203125" bestFit="1" customWidth="1"/>
    <col min="3" max="4" width="15.19921875" bestFit="1" customWidth="1"/>
    <col min="5" max="5" width="12.06640625" bestFit="1" customWidth="1"/>
    <col min="6" max="6" width="18.33203125" bestFit="1" customWidth="1"/>
    <col min="9" max="9" width="15.265625" bestFit="1" customWidth="1"/>
    <col min="10" max="10" width="18.33203125" bestFit="1" customWidth="1"/>
    <col min="12" max="12" width="14.73046875" bestFit="1" customWidth="1"/>
    <col min="13" max="13" width="18.33203125" bestFit="1" customWidth="1"/>
  </cols>
  <sheetData>
    <row r="3" spans="1:13" x14ac:dyDescent="0.45">
      <c r="A3" s="4" t="s">
        <v>117</v>
      </c>
      <c r="B3" t="s">
        <v>119</v>
      </c>
      <c r="E3" s="4" t="s">
        <v>117</v>
      </c>
      <c r="F3" t="s">
        <v>119</v>
      </c>
      <c r="I3" s="4" t="s">
        <v>117</v>
      </c>
      <c r="J3" t="s">
        <v>119</v>
      </c>
      <c r="L3" s="4" t="s">
        <v>117</v>
      </c>
      <c r="M3" t="s">
        <v>119</v>
      </c>
    </row>
    <row r="4" spans="1:13" x14ac:dyDescent="0.45">
      <c r="A4" s="5" t="s">
        <v>65</v>
      </c>
      <c r="B4" s="6">
        <v>2888200</v>
      </c>
      <c r="E4" s="5" t="s">
        <v>61</v>
      </c>
      <c r="F4" s="6">
        <v>510000</v>
      </c>
      <c r="I4" s="5" t="s">
        <v>45</v>
      </c>
      <c r="J4" s="6">
        <v>7000</v>
      </c>
      <c r="L4" s="5" t="s">
        <v>98</v>
      </c>
      <c r="M4" s="6">
        <v>3100000</v>
      </c>
    </row>
    <row r="5" spans="1:13" x14ac:dyDescent="0.45">
      <c r="A5" s="5" t="s">
        <v>62</v>
      </c>
      <c r="B5" s="6">
        <v>2994200</v>
      </c>
      <c r="E5" s="5" t="s">
        <v>58</v>
      </c>
      <c r="F5" s="6">
        <v>980000</v>
      </c>
      <c r="I5" s="5" t="s">
        <v>70</v>
      </c>
      <c r="J5" s="6">
        <v>8000</v>
      </c>
      <c r="L5" s="5" t="s">
        <v>52</v>
      </c>
      <c r="M5" s="6">
        <v>2400000</v>
      </c>
    </row>
    <row r="6" spans="1:13" x14ac:dyDescent="0.45">
      <c r="A6" s="5" t="s">
        <v>64</v>
      </c>
      <c r="B6" s="6">
        <v>1843700</v>
      </c>
      <c r="E6" s="5" t="s">
        <v>54</v>
      </c>
      <c r="F6" s="6">
        <v>915500</v>
      </c>
      <c r="I6" s="5" t="s">
        <v>68</v>
      </c>
      <c r="J6" s="6">
        <v>61200</v>
      </c>
      <c r="L6" s="5" t="s">
        <v>116</v>
      </c>
      <c r="M6" s="6">
        <v>910000</v>
      </c>
    </row>
    <row r="7" spans="1:13" x14ac:dyDescent="0.45">
      <c r="A7" s="5" t="s">
        <v>63</v>
      </c>
      <c r="B7" s="6">
        <v>5031600</v>
      </c>
      <c r="E7" s="5" t="s">
        <v>114</v>
      </c>
      <c r="F7" s="6">
        <v>121000</v>
      </c>
      <c r="I7" s="5" t="s">
        <v>69</v>
      </c>
      <c r="J7" s="6">
        <v>55400</v>
      </c>
      <c r="L7" s="5" t="s">
        <v>100</v>
      </c>
      <c r="M7" s="6">
        <v>800000</v>
      </c>
    </row>
    <row r="8" spans="1:13" x14ac:dyDescent="0.45">
      <c r="A8" s="5" t="s">
        <v>118</v>
      </c>
      <c r="B8" s="6">
        <v>12757700</v>
      </c>
      <c r="E8" s="5" t="s">
        <v>59</v>
      </c>
      <c r="F8" s="6">
        <v>52000</v>
      </c>
      <c r="I8" s="5" t="s">
        <v>67</v>
      </c>
      <c r="J8" s="6">
        <v>120000</v>
      </c>
      <c r="L8" s="5" t="s">
        <v>99</v>
      </c>
      <c r="M8" s="6">
        <v>700000</v>
      </c>
    </row>
    <row r="9" spans="1:13" x14ac:dyDescent="0.45">
      <c r="E9" s="5" t="s">
        <v>113</v>
      </c>
      <c r="F9" s="6">
        <v>1200</v>
      </c>
      <c r="I9" s="5" t="s">
        <v>72</v>
      </c>
      <c r="J9" s="6">
        <v>69000</v>
      </c>
      <c r="L9" s="5" t="s">
        <v>53</v>
      </c>
      <c r="M9" s="6">
        <v>550000</v>
      </c>
    </row>
    <row r="10" spans="1:13" x14ac:dyDescent="0.45">
      <c r="E10" s="5" t="s">
        <v>111</v>
      </c>
      <c r="F10" s="6">
        <v>197000</v>
      </c>
      <c r="I10" s="5" t="s">
        <v>66</v>
      </c>
      <c r="J10" s="6">
        <v>53000</v>
      </c>
      <c r="L10" s="5" t="s">
        <v>60</v>
      </c>
      <c r="M10" s="6">
        <v>510000</v>
      </c>
    </row>
    <row r="11" spans="1:13" x14ac:dyDescent="0.45">
      <c r="E11" s="5" t="s">
        <v>112</v>
      </c>
      <c r="F11" s="6">
        <v>240000</v>
      </c>
      <c r="I11" s="5" t="s">
        <v>71</v>
      </c>
      <c r="J11" s="6">
        <v>27000</v>
      </c>
      <c r="L11" s="5" t="s">
        <v>95</v>
      </c>
      <c r="M11" s="6">
        <v>500000</v>
      </c>
    </row>
    <row r="12" spans="1:13" x14ac:dyDescent="0.45">
      <c r="E12" s="5" t="s">
        <v>55</v>
      </c>
      <c r="F12" s="6">
        <v>9741000</v>
      </c>
      <c r="I12" s="5" t="s">
        <v>41</v>
      </c>
      <c r="J12" s="6">
        <v>15000</v>
      </c>
      <c r="L12" s="5" t="s">
        <v>96</v>
      </c>
      <c r="M12" s="6">
        <v>400000</v>
      </c>
    </row>
    <row r="13" spans="1:13" x14ac:dyDescent="0.45">
      <c r="E13" s="5" t="s">
        <v>118</v>
      </c>
      <c r="F13" s="6">
        <v>12757700</v>
      </c>
      <c r="I13" s="5" t="s">
        <v>104</v>
      </c>
      <c r="J13" s="6">
        <v>900</v>
      </c>
      <c r="L13" s="5" t="s">
        <v>50</v>
      </c>
      <c r="M13" s="6">
        <v>300000</v>
      </c>
    </row>
    <row r="14" spans="1:13" x14ac:dyDescent="0.45">
      <c r="I14" s="5" t="s">
        <v>93</v>
      </c>
      <c r="J14" s="6">
        <v>240000</v>
      </c>
      <c r="L14" s="5" t="s">
        <v>118</v>
      </c>
      <c r="M14" s="6">
        <v>10170000</v>
      </c>
    </row>
    <row r="15" spans="1:13" x14ac:dyDescent="0.45">
      <c r="I15" s="5" t="s">
        <v>109</v>
      </c>
      <c r="J15" s="6">
        <v>5000</v>
      </c>
    </row>
    <row r="16" spans="1:13" x14ac:dyDescent="0.45">
      <c r="A16" s="4" t="s">
        <v>117</v>
      </c>
      <c r="B16" t="s">
        <v>119</v>
      </c>
      <c r="F16" t="s">
        <v>120</v>
      </c>
      <c r="I16" s="5" t="s">
        <v>48</v>
      </c>
      <c r="J16" s="6">
        <v>5800</v>
      </c>
    </row>
    <row r="17" spans="1:10" x14ac:dyDescent="0.45">
      <c r="A17" s="5" t="s">
        <v>122</v>
      </c>
      <c r="B17" s="6">
        <v>2832000</v>
      </c>
      <c r="F17" s="8">
        <v>103</v>
      </c>
      <c r="I17" s="5" t="s">
        <v>108</v>
      </c>
      <c r="J17" s="6">
        <v>1200</v>
      </c>
    </row>
    <row r="18" spans="1:10" x14ac:dyDescent="0.45">
      <c r="A18" s="5" t="s">
        <v>123</v>
      </c>
      <c r="B18" s="6">
        <v>88000</v>
      </c>
      <c r="I18" s="5" t="s">
        <v>96</v>
      </c>
      <c r="J18" s="6">
        <v>400000</v>
      </c>
    </row>
    <row r="19" spans="1:10" x14ac:dyDescent="0.45">
      <c r="A19" s="5" t="s">
        <v>124</v>
      </c>
      <c r="B19" s="6">
        <v>1050000</v>
      </c>
      <c r="I19" s="5" t="s">
        <v>60</v>
      </c>
      <c r="J19" s="6">
        <v>510000</v>
      </c>
    </row>
    <row r="20" spans="1:10" x14ac:dyDescent="0.45">
      <c r="A20" s="5" t="s">
        <v>125</v>
      </c>
      <c r="B20" s="6">
        <v>5541000</v>
      </c>
      <c r="I20" s="5" t="s">
        <v>40</v>
      </c>
      <c r="J20" s="6">
        <v>133600</v>
      </c>
    </row>
    <row r="21" spans="1:10" x14ac:dyDescent="0.45">
      <c r="A21" s="5" t="s">
        <v>126</v>
      </c>
      <c r="B21" s="6">
        <v>1151800</v>
      </c>
      <c r="D21" t="s">
        <v>121</v>
      </c>
      <c r="F21" s="7" t="s">
        <v>130</v>
      </c>
      <c r="I21" s="5" t="s">
        <v>106</v>
      </c>
      <c r="J21" s="6">
        <v>9000</v>
      </c>
    </row>
    <row r="22" spans="1:10" x14ac:dyDescent="0.45">
      <c r="A22" s="5" t="s">
        <v>127</v>
      </c>
      <c r="B22" s="6">
        <v>441600</v>
      </c>
      <c r="D22" s="8">
        <v>50</v>
      </c>
      <c r="F22" s="8">
        <f>GETPIVOTDATA("Sales Amount",$E$3)/GETPIVOTDATA("Order ID",$D$21)</f>
        <v>255154</v>
      </c>
      <c r="I22" s="5" t="s">
        <v>46</v>
      </c>
      <c r="J22" s="6">
        <v>176000</v>
      </c>
    </row>
    <row r="23" spans="1:10" x14ac:dyDescent="0.45">
      <c r="A23" s="5" t="s">
        <v>128</v>
      </c>
      <c r="B23" s="6">
        <v>1653300</v>
      </c>
      <c r="I23" s="5" t="s">
        <v>94</v>
      </c>
      <c r="J23" s="6">
        <v>120000</v>
      </c>
    </row>
    <row r="24" spans="1:10" x14ac:dyDescent="0.45">
      <c r="A24" s="5" t="s">
        <v>118</v>
      </c>
      <c r="B24" s="6">
        <v>12757700</v>
      </c>
      <c r="I24" s="5" t="s">
        <v>47</v>
      </c>
      <c r="J24" s="6">
        <v>90000</v>
      </c>
    </row>
    <row r="25" spans="1:10" x14ac:dyDescent="0.45">
      <c r="E25" s="9"/>
      <c r="I25" s="5" t="s">
        <v>116</v>
      </c>
      <c r="J25" s="6">
        <v>910000</v>
      </c>
    </row>
    <row r="26" spans="1:10" x14ac:dyDescent="0.45">
      <c r="I26" s="5" t="s">
        <v>102</v>
      </c>
      <c r="J26" s="6">
        <v>34000</v>
      </c>
    </row>
    <row r="27" spans="1:10" x14ac:dyDescent="0.45">
      <c r="I27" s="5" t="s">
        <v>50</v>
      </c>
      <c r="J27" s="6">
        <v>300000</v>
      </c>
    </row>
    <row r="28" spans="1:10" x14ac:dyDescent="0.45">
      <c r="I28" s="5" t="s">
        <v>43</v>
      </c>
      <c r="J28" s="6">
        <v>230000</v>
      </c>
    </row>
    <row r="29" spans="1:10" x14ac:dyDescent="0.45">
      <c r="I29" s="5" t="s">
        <v>42</v>
      </c>
      <c r="J29" s="6">
        <v>180000</v>
      </c>
    </row>
    <row r="30" spans="1:10" x14ac:dyDescent="0.45">
      <c r="I30" s="5" t="s">
        <v>98</v>
      </c>
      <c r="J30" s="6">
        <v>3100000</v>
      </c>
    </row>
    <row r="31" spans="1:10" x14ac:dyDescent="0.45">
      <c r="I31" s="5" t="s">
        <v>44</v>
      </c>
      <c r="J31" s="6">
        <v>250000</v>
      </c>
    </row>
    <row r="32" spans="1:10" x14ac:dyDescent="0.45">
      <c r="I32" s="5" t="s">
        <v>51</v>
      </c>
      <c r="J32" s="6">
        <v>132000</v>
      </c>
    </row>
    <row r="33" spans="9:10" x14ac:dyDescent="0.45">
      <c r="I33" s="5" t="s">
        <v>97</v>
      </c>
      <c r="J33" s="6">
        <v>60000</v>
      </c>
    </row>
    <row r="34" spans="9:10" x14ac:dyDescent="0.45">
      <c r="I34" s="5" t="s">
        <v>39</v>
      </c>
      <c r="J34" s="6">
        <v>60000</v>
      </c>
    </row>
    <row r="35" spans="9:10" x14ac:dyDescent="0.45">
      <c r="I35" s="5" t="s">
        <v>92</v>
      </c>
      <c r="J35" s="6">
        <v>77000</v>
      </c>
    </row>
    <row r="36" spans="9:10" x14ac:dyDescent="0.45">
      <c r="I36" s="5" t="s">
        <v>110</v>
      </c>
      <c r="J36" s="6">
        <v>22500</v>
      </c>
    </row>
    <row r="37" spans="9:10" x14ac:dyDescent="0.45">
      <c r="I37" s="5" t="s">
        <v>52</v>
      </c>
      <c r="J37" s="6">
        <v>2400000</v>
      </c>
    </row>
    <row r="38" spans="9:10" x14ac:dyDescent="0.45">
      <c r="I38" s="5" t="s">
        <v>101</v>
      </c>
      <c r="J38" s="6">
        <v>44000</v>
      </c>
    </row>
    <row r="39" spans="9:10" x14ac:dyDescent="0.45">
      <c r="I39" s="5" t="s">
        <v>49</v>
      </c>
      <c r="J39" s="6">
        <v>9900</v>
      </c>
    </row>
    <row r="40" spans="9:10" x14ac:dyDescent="0.45">
      <c r="I40" s="5" t="s">
        <v>105</v>
      </c>
      <c r="J40" s="6">
        <v>1200</v>
      </c>
    </row>
    <row r="41" spans="9:10" x14ac:dyDescent="0.45">
      <c r="I41" s="5" t="s">
        <v>99</v>
      </c>
      <c r="J41" s="6">
        <v>700000</v>
      </c>
    </row>
    <row r="42" spans="9:10" x14ac:dyDescent="0.45">
      <c r="I42" s="5" t="s">
        <v>100</v>
      </c>
      <c r="J42" s="6">
        <v>800000</v>
      </c>
    </row>
    <row r="43" spans="9:10" x14ac:dyDescent="0.45">
      <c r="I43" s="5" t="s">
        <v>56</v>
      </c>
      <c r="J43" s="6">
        <v>70000</v>
      </c>
    </row>
    <row r="44" spans="9:10" x14ac:dyDescent="0.45">
      <c r="I44" s="5" t="s">
        <v>95</v>
      </c>
      <c r="J44" s="6">
        <v>500000</v>
      </c>
    </row>
    <row r="45" spans="9:10" x14ac:dyDescent="0.45">
      <c r="I45" s="5" t="s">
        <v>53</v>
      </c>
      <c r="J45" s="6">
        <v>550000</v>
      </c>
    </row>
    <row r="46" spans="9:10" x14ac:dyDescent="0.45">
      <c r="I46" s="5" t="s">
        <v>103</v>
      </c>
      <c r="J46" s="6">
        <v>47000</v>
      </c>
    </row>
    <row r="47" spans="9:10" x14ac:dyDescent="0.45">
      <c r="I47" s="5" t="s">
        <v>57</v>
      </c>
      <c r="J47" s="6">
        <v>52000</v>
      </c>
    </row>
    <row r="48" spans="9:10" x14ac:dyDescent="0.45">
      <c r="I48" s="5" t="s">
        <v>107</v>
      </c>
      <c r="J48" s="6">
        <v>121000</v>
      </c>
    </row>
    <row r="49" spans="9:10" x14ac:dyDescent="0.45">
      <c r="I49" s="5" t="s">
        <v>118</v>
      </c>
      <c r="J49" s="6">
        <v>12757700</v>
      </c>
    </row>
  </sheetData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EF98-0ACC-4C69-8BB9-4C5FCD133A42}">
  <dimension ref="A1:J52"/>
  <sheetViews>
    <sheetView topLeftCell="A2" zoomScale="78" zoomScaleNormal="142" workbookViewId="0">
      <selection activeCell="H10" sqref="H10:H51"/>
    </sheetView>
  </sheetViews>
  <sheetFormatPr defaultColWidth="16.59765625" defaultRowHeight="16.05" customHeight="1" x14ac:dyDescent="0.45"/>
  <cols>
    <col min="1" max="1" width="16.59765625" style="1"/>
    <col min="2" max="2" width="18.06640625" style="1" bestFit="1" customWidth="1"/>
    <col min="3" max="3" width="17.06640625" style="1" customWidth="1"/>
    <col min="4" max="16384" width="16.59765625" style="1"/>
  </cols>
  <sheetData>
    <row r="1" spans="1:10" ht="16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129</v>
      </c>
    </row>
    <row r="2" spans="1:10" ht="16.05" customHeight="1" x14ac:dyDescent="0.45">
      <c r="A2" s="1">
        <v>1</v>
      </c>
      <c r="B2" s="2">
        <v>45972</v>
      </c>
      <c r="C2" s="1" t="s">
        <v>9</v>
      </c>
      <c r="D2" s="1" t="s">
        <v>57</v>
      </c>
      <c r="E2" s="1" t="s">
        <v>59</v>
      </c>
      <c r="F2" s="1" t="s">
        <v>62</v>
      </c>
      <c r="G2" s="1">
        <v>1</v>
      </c>
      <c r="H2" s="3">
        <v>52000</v>
      </c>
      <c r="I2" s="3">
        <f>G2*H2</f>
        <v>52000</v>
      </c>
    </row>
    <row r="3" spans="1:10" ht="16.05" customHeight="1" x14ac:dyDescent="0.45">
      <c r="A3" s="1">
        <f>A2+1</f>
        <v>2</v>
      </c>
      <c r="B3" s="2">
        <v>45974</v>
      </c>
      <c r="C3" s="1" t="s">
        <v>10</v>
      </c>
      <c r="D3" s="1" t="s">
        <v>67</v>
      </c>
      <c r="E3" s="1" t="s">
        <v>54</v>
      </c>
      <c r="F3" s="1" t="s">
        <v>62</v>
      </c>
      <c r="G3" s="1">
        <v>1</v>
      </c>
      <c r="H3" s="3">
        <v>120000</v>
      </c>
      <c r="I3" s="3">
        <f t="shared" ref="I3:I51" si="0">G3*H3</f>
        <v>120000</v>
      </c>
    </row>
    <row r="4" spans="1:10" ht="16.05" customHeight="1" x14ac:dyDescent="0.45">
      <c r="A4" s="1">
        <v>3</v>
      </c>
      <c r="B4" s="2">
        <v>45976</v>
      </c>
      <c r="C4" s="1" t="s">
        <v>11</v>
      </c>
      <c r="D4" s="1" t="s">
        <v>45</v>
      </c>
      <c r="E4" s="1" t="s">
        <v>54</v>
      </c>
      <c r="F4" s="1" t="s">
        <v>63</v>
      </c>
      <c r="G4" s="1">
        <v>1</v>
      </c>
      <c r="H4" s="3">
        <v>7000</v>
      </c>
      <c r="I4" s="3">
        <f t="shared" si="0"/>
        <v>7000</v>
      </c>
    </row>
    <row r="5" spans="1:10" ht="16.05" customHeight="1" x14ac:dyDescent="0.45">
      <c r="A5" s="1">
        <v>4</v>
      </c>
      <c r="B5" s="2">
        <v>45978</v>
      </c>
      <c r="C5" s="1" t="s">
        <v>12</v>
      </c>
      <c r="D5" s="1" t="s">
        <v>66</v>
      </c>
      <c r="E5" s="1" t="s">
        <v>54</v>
      </c>
      <c r="F5" s="1" t="s">
        <v>62</v>
      </c>
      <c r="G5" s="1">
        <v>1</v>
      </c>
      <c r="H5" s="3">
        <v>53000</v>
      </c>
      <c r="I5" s="3">
        <f t="shared" si="0"/>
        <v>53000</v>
      </c>
    </row>
    <row r="6" spans="1:10" ht="16.05" customHeight="1" x14ac:dyDescent="0.45">
      <c r="A6" s="1">
        <v>5</v>
      </c>
      <c r="B6" s="2">
        <v>45980</v>
      </c>
      <c r="C6" s="1" t="s">
        <v>13</v>
      </c>
      <c r="D6" s="1" t="s">
        <v>68</v>
      </c>
      <c r="E6" s="1" t="s">
        <v>54</v>
      </c>
      <c r="F6" s="1" t="s">
        <v>64</v>
      </c>
      <c r="G6" s="1">
        <v>1</v>
      </c>
      <c r="H6" s="3">
        <v>61200</v>
      </c>
      <c r="I6" s="3">
        <f t="shared" si="0"/>
        <v>61200</v>
      </c>
    </row>
    <row r="7" spans="1:10" ht="16.05" customHeight="1" x14ac:dyDescent="0.45">
      <c r="A7" s="1">
        <v>6</v>
      </c>
      <c r="B7" s="2">
        <v>45982</v>
      </c>
      <c r="C7" s="1" t="s">
        <v>14</v>
      </c>
      <c r="D7" s="1" t="s">
        <v>69</v>
      </c>
      <c r="E7" s="1" t="s">
        <v>54</v>
      </c>
      <c r="F7" s="1" t="s">
        <v>63</v>
      </c>
      <c r="G7" s="1">
        <v>1</v>
      </c>
      <c r="H7" s="3">
        <v>55400</v>
      </c>
      <c r="I7" s="3">
        <f t="shared" si="0"/>
        <v>55400</v>
      </c>
    </row>
    <row r="8" spans="1:10" ht="16.05" customHeight="1" x14ac:dyDescent="0.45">
      <c r="A8" s="1">
        <v>7</v>
      </c>
      <c r="B8" s="2">
        <v>45984</v>
      </c>
      <c r="C8" s="1" t="s">
        <v>15</v>
      </c>
      <c r="D8" s="1" t="s">
        <v>56</v>
      </c>
      <c r="E8" s="1" t="s">
        <v>58</v>
      </c>
      <c r="F8" s="1" t="s">
        <v>62</v>
      </c>
      <c r="G8" s="1">
        <v>5</v>
      </c>
      <c r="H8" s="3">
        <v>14000</v>
      </c>
      <c r="I8" s="3">
        <f t="shared" si="0"/>
        <v>70000</v>
      </c>
    </row>
    <row r="9" spans="1:10" ht="16.05" customHeight="1" x14ac:dyDescent="0.45">
      <c r="A9" s="1">
        <v>8</v>
      </c>
      <c r="B9" s="2">
        <v>45986</v>
      </c>
      <c r="C9" s="1" t="s">
        <v>16</v>
      </c>
      <c r="D9" s="1" t="s">
        <v>70</v>
      </c>
      <c r="E9" s="1" t="s">
        <v>54</v>
      </c>
      <c r="F9" s="1" t="s">
        <v>64</v>
      </c>
      <c r="G9" s="1">
        <v>1</v>
      </c>
      <c r="H9" s="3">
        <v>8000</v>
      </c>
      <c r="I9" s="3">
        <f t="shared" si="0"/>
        <v>8000</v>
      </c>
    </row>
    <row r="10" spans="1:10" ht="16.05" customHeight="1" x14ac:dyDescent="0.45">
      <c r="A10" s="1">
        <v>9</v>
      </c>
      <c r="B10" s="2">
        <v>45988</v>
      </c>
      <c r="C10" s="1" t="s">
        <v>17</v>
      </c>
      <c r="D10" s="1" t="s">
        <v>41</v>
      </c>
      <c r="E10" s="1" t="s">
        <v>54</v>
      </c>
      <c r="F10" s="1" t="s">
        <v>64</v>
      </c>
      <c r="G10" s="1">
        <v>1</v>
      </c>
      <c r="H10" s="3">
        <v>5000</v>
      </c>
      <c r="I10" s="3">
        <f t="shared" si="0"/>
        <v>5000</v>
      </c>
    </row>
    <row r="11" spans="1:10" ht="16.05" customHeight="1" x14ac:dyDescent="0.45">
      <c r="A11" s="1">
        <v>10</v>
      </c>
      <c r="B11" s="2">
        <v>45990</v>
      </c>
      <c r="C11" s="1" t="s">
        <v>18</v>
      </c>
      <c r="D11" s="1" t="s">
        <v>41</v>
      </c>
      <c r="E11" s="1" t="s">
        <v>54</v>
      </c>
      <c r="F11" s="1" t="s">
        <v>64</v>
      </c>
      <c r="G11" s="1">
        <v>2</v>
      </c>
      <c r="H11" s="3">
        <v>5000</v>
      </c>
      <c r="I11" s="3">
        <f t="shared" si="0"/>
        <v>10000</v>
      </c>
    </row>
    <row r="12" spans="1:10" ht="16.05" customHeight="1" x14ac:dyDescent="0.45">
      <c r="A12" s="1">
        <v>11</v>
      </c>
      <c r="B12" s="2">
        <v>45992</v>
      </c>
      <c r="C12" s="1" t="s">
        <v>19</v>
      </c>
      <c r="D12" s="1" t="s">
        <v>71</v>
      </c>
      <c r="E12" s="1" t="s">
        <v>54</v>
      </c>
      <c r="F12" s="1" t="s">
        <v>63</v>
      </c>
      <c r="G12" s="1">
        <v>1</v>
      </c>
      <c r="H12" s="3">
        <v>27000</v>
      </c>
      <c r="I12" s="3">
        <f t="shared" si="0"/>
        <v>27000</v>
      </c>
    </row>
    <row r="13" spans="1:10" ht="16.05" customHeight="1" x14ac:dyDescent="0.45">
      <c r="A13" s="1">
        <v>12</v>
      </c>
      <c r="B13" s="2">
        <v>45994</v>
      </c>
      <c r="C13" s="1" t="s">
        <v>20</v>
      </c>
      <c r="D13" s="1" t="s">
        <v>60</v>
      </c>
      <c r="E13" s="1" t="s">
        <v>61</v>
      </c>
      <c r="F13" s="1" t="s">
        <v>63</v>
      </c>
      <c r="G13" s="1">
        <v>3</v>
      </c>
      <c r="H13" s="3">
        <v>170000</v>
      </c>
      <c r="I13" s="3">
        <f t="shared" si="0"/>
        <v>510000</v>
      </c>
    </row>
    <row r="14" spans="1:10" ht="16.05" customHeight="1" x14ac:dyDescent="0.45">
      <c r="A14" s="1">
        <v>13</v>
      </c>
      <c r="B14" s="2">
        <v>45996</v>
      </c>
      <c r="C14" s="1" t="s">
        <v>21</v>
      </c>
      <c r="D14" s="1" t="s">
        <v>42</v>
      </c>
      <c r="E14" s="1" t="s">
        <v>54</v>
      </c>
      <c r="F14" s="1" t="s">
        <v>63</v>
      </c>
      <c r="G14" s="1">
        <v>1</v>
      </c>
      <c r="H14" s="3">
        <v>90000</v>
      </c>
      <c r="I14" s="3">
        <f t="shared" si="0"/>
        <v>90000</v>
      </c>
    </row>
    <row r="15" spans="1:10" ht="16.05" customHeight="1" x14ac:dyDescent="0.45">
      <c r="A15" s="1">
        <v>14</v>
      </c>
      <c r="B15" s="2">
        <v>45998</v>
      </c>
      <c r="C15" s="1" t="s">
        <v>22</v>
      </c>
      <c r="D15" s="1" t="s">
        <v>40</v>
      </c>
      <c r="E15" s="1" t="s">
        <v>54</v>
      </c>
      <c r="F15" s="1" t="s">
        <v>62</v>
      </c>
      <c r="G15" s="1">
        <v>4</v>
      </c>
      <c r="H15" s="3">
        <v>33400</v>
      </c>
      <c r="I15" s="3">
        <f t="shared" si="0"/>
        <v>133600</v>
      </c>
    </row>
    <row r="16" spans="1:10" ht="16.05" customHeight="1" x14ac:dyDescent="0.45">
      <c r="A16" s="1">
        <v>15</v>
      </c>
      <c r="B16" s="2">
        <v>46000</v>
      </c>
      <c r="C16" s="1" t="s">
        <v>23</v>
      </c>
      <c r="D16" s="1" t="s">
        <v>42</v>
      </c>
      <c r="E16" s="1" t="s">
        <v>54</v>
      </c>
      <c r="F16" s="1" t="s">
        <v>65</v>
      </c>
      <c r="G16" s="1">
        <v>1</v>
      </c>
      <c r="H16" s="3">
        <v>90000</v>
      </c>
      <c r="I16" s="3">
        <f t="shared" si="0"/>
        <v>90000</v>
      </c>
    </row>
    <row r="17" spans="1:9" ht="16.05" customHeight="1" x14ac:dyDescent="0.45">
      <c r="A17" s="1">
        <v>16</v>
      </c>
      <c r="B17" s="2">
        <v>46001</v>
      </c>
      <c r="C17" s="1" t="s">
        <v>24</v>
      </c>
      <c r="D17" s="1" t="s">
        <v>39</v>
      </c>
      <c r="E17" s="1" t="s">
        <v>54</v>
      </c>
      <c r="F17" s="1" t="s">
        <v>64</v>
      </c>
      <c r="G17" s="1">
        <v>1</v>
      </c>
      <c r="H17" s="3">
        <v>60000</v>
      </c>
      <c r="I17" s="3">
        <f t="shared" si="0"/>
        <v>60000</v>
      </c>
    </row>
    <row r="18" spans="1:9" ht="16.05" customHeight="1" x14ac:dyDescent="0.45">
      <c r="A18" s="1">
        <v>17</v>
      </c>
      <c r="B18" s="2">
        <v>46002</v>
      </c>
      <c r="C18" s="1" t="s">
        <v>25</v>
      </c>
      <c r="D18" s="1" t="s">
        <v>43</v>
      </c>
      <c r="E18" s="1" t="s">
        <v>55</v>
      </c>
      <c r="F18" s="1" t="s">
        <v>65</v>
      </c>
      <c r="G18" s="1">
        <v>1</v>
      </c>
      <c r="H18" s="3">
        <v>230000</v>
      </c>
      <c r="I18" s="3">
        <f t="shared" si="0"/>
        <v>230000</v>
      </c>
    </row>
    <row r="19" spans="1:9" ht="16.05" customHeight="1" x14ac:dyDescent="0.45">
      <c r="A19" s="1">
        <v>18</v>
      </c>
      <c r="B19" s="2">
        <v>46003</v>
      </c>
      <c r="C19" s="1" t="s">
        <v>26</v>
      </c>
      <c r="D19" s="1" t="s">
        <v>44</v>
      </c>
      <c r="E19" s="1" t="s">
        <v>55</v>
      </c>
      <c r="F19" s="1" t="s">
        <v>64</v>
      </c>
      <c r="G19" s="1">
        <v>1</v>
      </c>
      <c r="H19" s="3">
        <v>250000</v>
      </c>
      <c r="I19" s="3">
        <f t="shared" si="0"/>
        <v>250000</v>
      </c>
    </row>
    <row r="20" spans="1:9" ht="16.05" customHeight="1" x14ac:dyDescent="0.45">
      <c r="A20" s="1">
        <v>19</v>
      </c>
      <c r="B20" s="2">
        <v>46004</v>
      </c>
      <c r="C20" s="1" t="s">
        <v>27</v>
      </c>
      <c r="D20" s="1" t="s">
        <v>46</v>
      </c>
      <c r="E20" s="1" t="s">
        <v>55</v>
      </c>
      <c r="F20" s="1" t="s">
        <v>64</v>
      </c>
      <c r="G20" s="1">
        <v>1</v>
      </c>
      <c r="H20" s="3">
        <v>88000</v>
      </c>
      <c r="I20" s="3">
        <f t="shared" si="0"/>
        <v>88000</v>
      </c>
    </row>
    <row r="21" spans="1:9" ht="16.05" customHeight="1" x14ac:dyDescent="0.45">
      <c r="A21" s="1">
        <v>20</v>
      </c>
      <c r="B21" s="2">
        <v>46010</v>
      </c>
      <c r="C21" s="1" t="s">
        <v>28</v>
      </c>
      <c r="D21" s="1" t="s">
        <v>47</v>
      </c>
      <c r="E21" s="1" t="s">
        <v>55</v>
      </c>
      <c r="F21" s="1" t="s">
        <v>62</v>
      </c>
      <c r="G21" s="1">
        <v>1</v>
      </c>
      <c r="H21" s="3">
        <v>90000</v>
      </c>
      <c r="I21" s="3">
        <f t="shared" si="0"/>
        <v>90000</v>
      </c>
    </row>
    <row r="22" spans="1:9" ht="16.05" customHeight="1" x14ac:dyDescent="0.45">
      <c r="A22" s="1">
        <v>21</v>
      </c>
      <c r="B22" s="2">
        <v>46011</v>
      </c>
      <c r="C22" s="1" t="s">
        <v>29</v>
      </c>
      <c r="D22" s="1" t="s">
        <v>72</v>
      </c>
      <c r="E22" s="1" t="s">
        <v>54</v>
      </c>
      <c r="F22" s="1" t="s">
        <v>65</v>
      </c>
      <c r="G22" s="1">
        <v>1</v>
      </c>
      <c r="H22" s="3">
        <v>69000</v>
      </c>
      <c r="I22" s="3">
        <f t="shared" si="0"/>
        <v>69000</v>
      </c>
    </row>
    <row r="23" spans="1:9" ht="16.05" customHeight="1" x14ac:dyDescent="0.45">
      <c r="A23" s="1">
        <v>22</v>
      </c>
      <c r="B23" s="2">
        <v>46012</v>
      </c>
      <c r="C23" s="1" t="s">
        <v>30</v>
      </c>
      <c r="D23" s="1" t="s">
        <v>48</v>
      </c>
      <c r="E23" s="1" t="s">
        <v>54</v>
      </c>
      <c r="F23" s="1" t="s">
        <v>65</v>
      </c>
      <c r="G23" s="1">
        <v>1</v>
      </c>
      <c r="H23" s="3">
        <v>1300</v>
      </c>
      <c r="I23" s="3">
        <f t="shared" si="0"/>
        <v>1300</v>
      </c>
    </row>
    <row r="24" spans="1:9" ht="16.05" customHeight="1" x14ac:dyDescent="0.45">
      <c r="A24" s="1">
        <v>23</v>
      </c>
      <c r="B24" s="2">
        <v>46014</v>
      </c>
      <c r="C24" s="1" t="s">
        <v>31</v>
      </c>
      <c r="D24" s="1" t="s">
        <v>49</v>
      </c>
      <c r="E24" s="1" t="s">
        <v>54</v>
      </c>
      <c r="F24" s="1" t="s">
        <v>65</v>
      </c>
      <c r="G24" s="1">
        <v>3</v>
      </c>
      <c r="H24" s="3">
        <v>1800</v>
      </c>
      <c r="I24" s="3">
        <f t="shared" si="0"/>
        <v>5400</v>
      </c>
    </row>
    <row r="25" spans="1:9" ht="16.05" customHeight="1" x14ac:dyDescent="0.45">
      <c r="A25" s="1">
        <v>24</v>
      </c>
      <c r="B25" s="2">
        <v>46016</v>
      </c>
      <c r="C25" s="1" t="s">
        <v>32</v>
      </c>
      <c r="D25" s="1" t="s">
        <v>49</v>
      </c>
      <c r="E25" s="1" t="s">
        <v>54</v>
      </c>
      <c r="F25" s="1" t="s">
        <v>62</v>
      </c>
      <c r="G25" s="1">
        <v>3</v>
      </c>
      <c r="H25" s="3">
        <v>1500</v>
      </c>
      <c r="I25" s="3">
        <f>G25*H25</f>
        <v>4500</v>
      </c>
    </row>
    <row r="26" spans="1:9" ht="16.05" customHeight="1" x14ac:dyDescent="0.45">
      <c r="A26" s="1">
        <v>25</v>
      </c>
      <c r="B26" s="2">
        <v>46019</v>
      </c>
      <c r="C26" s="1" t="s">
        <v>33</v>
      </c>
      <c r="D26" s="1" t="s">
        <v>48</v>
      </c>
      <c r="E26" s="1" t="s">
        <v>54</v>
      </c>
      <c r="F26" s="1" t="s">
        <v>64</v>
      </c>
      <c r="G26" s="1">
        <v>3</v>
      </c>
      <c r="H26" s="3">
        <v>1500</v>
      </c>
      <c r="I26" s="3">
        <f t="shared" si="0"/>
        <v>4500</v>
      </c>
    </row>
    <row r="27" spans="1:9" ht="16.05" customHeight="1" x14ac:dyDescent="0.45">
      <c r="A27" s="1">
        <v>26</v>
      </c>
      <c r="B27" s="2">
        <v>46025</v>
      </c>
      <c r="C27" s="1" t="s">
        <v>34</v>
      </c>
      <c r="D27" s="1" t="s">
        <v>50</v>
      </c>
      <c r="E27" s="1" t="s">
        <v>55</v>
      </c>
      <c r="F27" s="1" t="s">
        <v>64</v>
      </c>
      <c r="G27" s="1">
        <v>1</v>
      </c>
      <c r="H27" s="3">
        <v>300000</v>
      </c>
      <c r="I27" s="3">
        <f t="shared" si="0"/>
        <v>300000</v>
      </c>
    </row>
    <row r="28" spans="1:9" ht="16.05" customHeight="1" x14ac:dyDescent="0.45">
      <c r="A28" s="1">
        <v>27</v>
      </c>
      <c r="B28" s="2">
        <v>46027</v>
      </c>
      <c r="C28" s="1" t="s">
        <v>35</v>
      </c>
      <c r="D28" s="1" t="s">
        <v>51</v>
      </c>
      <c r="E28" s="1" t="s">
        <v>55</v>
      </c>
      <c r="F28" s="1" t="s">
        <v>64</v>
      </c>
      <c r="G28" s="1">
        <v>2</v>
      </c>
      <c r="H28" s="3">
        <v>66000</v>
      </c>
      <c r="I28" s="3">
        <f t="shared" si="0"/>
        <v>132000</v>
      </c>
    </row>
    <row r="29" spans="1:9" ht="16.05" customHeight="1" x14ac:dyDescent="0.45">
      <c r="A29" s="1">
        <v>28</v>
      </c>
      <c r="B29" s="2">
        <v>46031</v>
      </c>
      <c r="C29" s="1" t="s">
        <v>38</v>
      </c>
      <c r="D29" s="1" t="s">
        <v>52</v>
      </c>
      <c r="E29" s="1" t="s">
        <v>55</v>
      </c>
      <c r="F29" s="1" t="s">
        <v>62</v>
      </c>
      <c r="G29" s="1">
        <v>2</v>
      </c>
      <c r="H29" s="3">
        <v>1200000</v>
      </c>
      <c r="I29" s="3">
        <f t="shared" si="0"/>
        <v>2400000</v>
      </c>
    </row>
    <row r="30" spans="1:9" ht="16.05" customHeight="1" x14ac:dyDescent="0.45">
      <c r="A30" s="1">
        <v>29</v>
      </c>
      <c r="B30" s="2">
        <v>46076</v>
      </c>
      <c r="C30" s="1" t="s">
        <v>36</v>
      </c>
      <c r="D30" s="1" t="s">
        <v>46</v>
      </c>
      <c r="E30" s="1" t="s">
        <v>55</v>
      </c>
      <c r="F30" s="1" t="s">
        <v>63</v>
      </c>
      <c r="G30" s="1">
        <v>1</v>
      </c>
      <c r="H30" s="3">
        <v>88000</v>
      </c>
      <c r="I30" s="3">
        <f t="shared" si="0"/>
        <v>88000</v>
      </c>
    </row>
    <row r="31" spans="1:9" ht="16.05" customHeight="1" x14ac:dyDescent="0.45">
      <c r="A31" s="1">
        <v>30</v>
      </c>
      <c r="B31" s="2">
        <v>46106</v>
      </c>
      <c r="C31" s="1" t="s">
        <v>37</v>
      </c>
      <c r="D31" s="1" t="s">
        <v>53</v>
      </c>
      <c r="E31" s="1" t="s">
        <v>55</v>
      </c>
      <c r="F31" s="1" t="s">
        <v>63</v>
      </c>
      <c r="G31" s="1">
        <v>1</v>
      </c>
      <c r="H31" s="3">
        <v>550000</v>
      </c>
      <c r="I31" s="3">
        <f t="shared" si="0"/>
        <v>550000</v>
      </c>
    </row>
    <row r="32" spans="1:9" ht="16.05" customHeight="1" x14ac:dyDescent="0.45">
      <c r="A32" s="1">
        <v>31</v>
      </c>
      <c r="B32" s="2">
        <v>46107</v>
      </c>
      <c r="C32" s="1" t="s">
        <v>73</v>
      </c>
      <c r="D32" s="1" t="s">
        <v>95</v>
      </c>
      <c r="E32" s="1" t="s">
        <v>55</v>
      </c>
      <c r="F32" s="1" t="s">
        <v>65</v>
      </c>
      <c r="G32" s="1">
        <v>1</v>
      </c>
      <c r="H32" s="3">
        <v>500000</v>
      </c>
      <c r="I32" s="3">
        <f>G32*H32</f>
        <v>500000</v>
      </c>
    </row>
    <row r="33" spans="1:9" ht="16.05" customHeight="1" x14ac:dyDescent="0.45">
      <c r="A33" s="1">
        <v>32</v>
      </c>
      <c r="B33" s="2">
        <v>46123</v>
      </c>
      <c r="C33" s="1" t="s">
        <v>74</v>
      </c>
      <c r="D33" s="1" t="s">
        <v>96</v>
      </c>
      <c r="E33" s="1" t="s">
        <v>55</v>
      </c>
      <c r="F33" s="1" t="s">
        <v>63</v>
      </c>
      <c r="G33" s="1">
        <v>1</v>
      </c>
      <c r="H33" s="3">
        <v>400000</v>
      </c>
      <c r="I33" s="3">
        <f t="shared" si="0"/>
        <v>400000</v>
      </c>
    </row>
    <row r="34" spans="1:9" ht="16.05" customHeight="1" x14ac:dyDescent="0.45">
      <c r="A34" s="1">
        <v>33</v>
      </c>
      <c r="B34" s="2">
        <v>46125</v>
      </c>
      <c r="C34" s="1" t="s">
        <v>75</v>
      </c>
      <c r="D34" s="1" t="s">
        <v>97</v>
      </c>
      <c r="E34" s="1" t="s">
        <v>55</v>
      </c>
      <c r="F34" s="1" t="s">
        <v>62</v>
      </c>
      <c r="G34" s="1">
        <v>1</v>
      </c>
      <c r="H34" s="3">
        <v>60000</v>
      </c>
      <c r="I34" s="3">
        <f t="shared" si="0"/>
        <v>60000</v>
      </c>
    </row>
    <row r="35" spans="1:9" ht="16.05" customHeight="1" x14ac:dyDescent="0.45">
      <c r="A35" s="1">
        <v>34</v>
      </c>
      <c r="B35" s="2">
        <v>46127</v>
      </c>
      <c r="C35" s="1" t="s">
        <v>76</v>
      </c>
      <c r="D35" s="1" t="s">
        <v>98</v>
      </c>
      <c r="E35" s="1" t="s">
        <v>55</v>
      </c>
      <c r="F35" s="1" t="s">
        <v>63</v>
      </c>
      <c r="G35" s="1">
        <v>1</v>
      </c>
      <c r="H35" s="3">
        <v>3100000</v>
      </c>
      <c r="I35" s="3">
        <f t="shared" si="0"/>
        <v>3100000</v>
      </c>
    </row>
    <row r="36" spans="1:9" ht="16.05" customHeight="1" x14ac:dyDescent="0.45">
      <c r="A36" s="1">
        <v>35</v>
      </c>
      <c r="B36" s="2">
        <v>46129</v>
      </c>
      <c r="C36" s="1" t="s">
        <v>77</v>
      </c>
      <c r="D36" s="1" t="s">
        <v>92</v>
      </c>
      <c r="E36" s="1" t="s">
        <v>111</v>
      </c>
      <c r="F36" s="1" t="s">
        <v>63</v>
      </c>
      <c r="G36" s="1">
        <v>7</v>
      </c>
      <c r="H36" s="3">
        <v>11000</v>
      </c>
      <c r="I36" s="3">
        <f t="shared" si="0"/>
        <v>77000</v>
      </c>
    </row>
    <row r="37" spans="1:9" ht="16.05" customHeight="1" x14ac:dyDescent="0.45">
      <c r="A37" s="1">
        <v>36</v>
      </c>
      <c r="B37" s="2">
        <v>46131</v>
      </c>
      <c r="C37" s="1" t="s">
        <v>78</v>
      </c>
      <c r="D37" s="1" t="s">
        <v>93</v>
      </c>
      <c r="E37" s="1" t="s">
        <v>112</v>
      </c>
      <c r="F37" s="1" t="s">
        <v>65</v>
      </c>
      <c r="G37" s="1">
        <v>8</v>
      </c>
      <c r="H37" s="3">
        <v>30000</v>
      </c>
      <c r="I37" s="3">
        <f t="shared" si="0"/>
        <v>240000</v>
      </c>
    </row>
    <row r="38" spans="1:9" ht="16.05" customHeight="1" x14ac:dyDescent="0.45">
      <c r="A38" s="1">
        <v>37</v>
      </c>
      <c r="B38" s="2">
        <v>46131</v>
      </c>
      <c r="C38" s="1" t="s">
        <v>79</v>
      </c>
      <c r="D38" s="1" t="s">
        <v>94</v>
      </c>
      <c r="E38" s="1" t="s">
        <v>111</v>
      </c>
      <c r="F38" s="1" t="s">
        <v>65</v>
      </c>
      <c r="G38" s="1">
        <v>4</v>
      </c>
      <c r="H38" s="3">
        <v>30000</v>
      </c>
      <c r="I38" s="3">
        <f t="shared" si="0"/>
        <v>120000</v>
      </c>
    </row>
    <row r="39" spans="1:9" ht="16.05" customHeight="1" x14ac:dyDescent="0.45">
      <c r="A39" s="1">
        <v>38</v>
      </c>
      <c r="B39" s="2">
        <v>46133</v>
      </c>
      <c r="C39" s="1" t="s">
        <v>80</v>
      </c>
      <c r="D39" s="1" t="s">
        <v>99</v>
      </c>
      <c r="E39" s="1" t="s">
        <v>55</v>
      </c>
      <c r="F39" s="1" t="s">
        <v>65</v>
      </c>
      <c r="G39" s="1">
        <v>1</v>
      </c>
      <c r="H39" s="3">
        <v>700000</v>
      </c>
      <c r="I39" s="3">
        <f t="shared" si="0"/>
        <v>700000</v>
      </c>
    </row>
    <row r="40" spans="1:9" ht="16.05" customHeight="1" x14ac:dyDescent="0.45">
      <c r="A40" s="1">
        <v>39</v>
      </c>
      <c r="B40" s="2">
        <v>46135</v>
      </c>
      <c r="C40" s="1" t="s">
        <v>81</v>
      </c>
      <c r="D40" s="1" t="s">
        <v>100</v>
      </c>
      <c r="E40" s="1" t="s">
        <v>55</v>
      </c>
      <c r="F40" s="1" t="s">
        <v>64</v>
      </c>
      <c r="G40" s="1">
        <v>1</v>
      </c>
      <c r="H40" s="3">
        <v>800000</v>
      </c>
      <c r="I40" s="3">
        <f t="shared" si="0"/>
        <v>800000</v>
      </c>
    </row>
    <row r="41" spans="1:9" ht="16.05" customHeight="1" x14ac:dyDescent="0.45">
      <c r="A41" s="1">
        <v>40</v>
      </c>
      <c r="B41" s="2">
        <v>46137</v>
      </c>
      <c r="C41" s="1" t="s">
        <v>82</v>
      </c>
      <c r="D41" s="1" t="s">
        <v>101</v>
      </c>
      <c r="E41" s="1" t="s">
        <v>55</v>
      </c>
      <c r="F41" s="1" t="s">
        <v>64</v>
      </c>
      <c r="G41" s="1">
        <v>1</v>
      </c>
      <c r="H41" s="3">
        <v>44000</v>
      </c>
      <c r="I41" s="3">
        <f t="shared" si="0"/>
        <v>44000</v>
      </c>
    </row>
    <row r="42" spans="1:9" ht="16.05" customHeight="1" x14ac:dyDescent="0.45">
      <c r="A42" s="1">
        <v>41</v>
      </c>
      <c r="B42" s="2">
        <v>46143</v>
      </c>
      <c r="C42" s="1" t="s">
        <v>83</v>
      </c>
      <c r="D42" s="1" t="s">
        <v>102</v>
      </c>
      <c r="E42" s="1" t="s">
        <v>54</v>
      </c>
      <c r="F42" s="1" t="s">
        <v>64</v>
      </c>
      <c r="G42" s="1">
        <v>2</v>
      </c>
      <c r="H42" s="3">
        <v>17000</v>
      </c>
      <c r="I42" s="3">
        <f t="shared" si="0"/>
        <v>34000</v>
      </c>
    </row>
    <row r="43" spans="1:9" ht="16.05" customHeight="1" x14ac:dyDescent="0.45">
      <c r="A43" s="1">
        <v>42</v>
      </c>
      <c r="B43" s="2">
        <v>46146</v>
      </c>
      <c r="C43" s="1" t="s">
        <v>84</v>
      </c>
      <c r="D43" s="1" t="s">
        <v>103</v>
      </c>
      <c r="E43" s="1" t="s">
        <v>54</v>
      </c>
      <c r="F43" s="1" t="s">
        <v>64</v>
      </c>
      <c r="G43" s="1">
        <v>1</v>
      </c>
      <c r="H43" s="3">
        <v>47000</v>
      </c>
      <c r="I43" s="3">
        <f t="shared" si="0"/>
        <v>47000</v>
      </c>
    </row>
    <row r="44" spans="1:9" ht="16.05" customHeight="1" x14ac:dyDescent="0.45">
      <c r="A44" s="1">
        <v>43</v>
      </c>
      <c r="B44" s="2">
        <v>46149</v>
      </c>
      <c r="C44" s="1" t="s">
        <v>85</v>
      </c>
      <c r="D44" s="1" t="s">
        <v>104</v>
      </c>
      <c r="E44" s="1" t="s">
        <v>54</v>
      </c>
      <c r="F44" s="1" t="s">
        <v>62</v>
      </c>
      <c r="G44" s="1">
        <v>1</v>
      </c>
      <c r="H44" s="3">
        <v>900</v>
      </c>
      <c r="I44" s="3">
        <f t="shared" si="0"/>
        <v>900</v>
      </c>
    </row>
    <row r="45" spans="1:9" ht="16.05" customHeight="1" x14ac:dyDescent="0.45">
      <c r="A45" s="1">
        <v>44</v>
      </c>
      <c r="B45" s="2">
        <v>46151</v>
      </c>
      <c r="C45" s="1" t="s">
        <v>86</v>
      </c>
      <c r="D45" s="1" t="s">
        <v>105</v>
      </c>
      <c r="E45" s="1" t="s">
        <v>113</v>
      </c>
      <c r="F45" s="1" t="s">
        <v>62</v>
      </c>
      <c r="G45" s="1">
        <v>1</v>
      </c>
      <c r="H45" s="3">
        <v>1200</v>
      </c>
      <c r="I45" s="3">
        <f t="shared" si="0"/>
        <v>1200</v>
      </c>
    </row>
    <row r="46" spans="1:9" ht="16.05" customHeight="1" x14ac:dyDescent="0.45">
      <c r="A46" s="1">
        <v>45</v>
      </c>
      <c r="B46" s="2">
        <v>46155</v>
      </c>
      <c r="C46" s="1" t="s">
        <v>87</v>
      </c>
      <c r="D46" s="1" t="s">
        <v>106</v>
      </c>
      <c r="E46" s="1" t="s">
        <v>55</v>
      </c>
      <c r="F46" s="1" t="s">
        <v>62</v>
      </c>
      <c r="G46" s="1">
        <v>1</v>
      </c>
      <c r="H46" s="3">
        <v>9000</v>
      </c>
      <c r="I46" s="3">
        <f t="shared" si="0"/>
        <v>9000</v>
      </c>
    </row>
    <row r="47" spans="1:9" ht="16.05" customHeight="1" x14ac:dyDescent="0.45">
      <c r="A47" s="1">
        <v>46</v>
      </c>
      <c r="B47" s="2">
        <v>46161</v>
      </c>
      <c r="C47" s="1" t="s">
        <v>88</v>
      </c>
      <c r="D47" s="1" t="s">
        <v>107</v>
      </c>
      <c r="E47" s="1" t="s">
        <v>114</v>
      </c>
      <c r="F47" s="1" t="s">
        <v>63</v>
      </c>
      <c r="G47" s="1">
        <v>11</v>
      </c>
      <c r="H47" s="3">
        <v>11000</v>
      </c>
      <c r="I47" s="3">
        <f t="shared" si="0"/>
        <v>121000</v>
      </c>
    </row>
    <row r="48" spans="1:9" ht="16.05" customHeight="1" x14ac:dyDescent="0.45">
      <c r="A48" s="1">
        <v>47</v>
      </c>
      <c r="B48" s="2">
        <v>46163</v>
      </c>
      <c r="C48" s="1" t="s">
        <v>89</v>
      </c>
      <c r="D48" s="1" t="s">
        <v>108</v>
      </c>
      <c r="E48" s="1" t="s">
        <v>54</v>
      </c>
      <c r="F48" s="1" t="s">
        <v>63</v>
      </c>
      <c r="G48" s="1">
        <v>1</v>
      </c>
      <c r="H48" s="3">
        <v>1200</v>
      </c>
      <c r="I48" s="3">
        <f t="shared" si="0"/>
        <v>1200</v>
      </c>
    </row>
    <row r="49" spans="1:10" ht="16.05" customHeight="1" x14ac:dyDescent="0.45">
      <c r="A49" s="1">
        <v>48</v>
      </c>
      <c r="B49" s="2">
        <v>46165</v>
      </c>
      <c r="C49" s="1" t="s">
        <v>90</v>
      </c>
      <c r="D49" s="1" t="s">
        <v>109</v>
      </c>
      <c r="E49" s="1" t="s">
        <v>54</v>
      </c>
      <c r="F49" s="1" t="s">
        <v>63</v>
      </c>
      <c r="G49" s="1">
        <v>1</v>
      </c>
      <c r="H49" s="3">
        <v>5000</v>
      </c>
      <c r="I49" s="3">
        <f t="shared" si="0"/>
        <v>5000</v>
      </c>
    </row>
    <row r="50" spans="1:10" ht="16.05" customHeight="1" x14ac:dyDescent="0.45">
      <c r="A50" s="1">
        <v>49</v>
      </c>
      <c r="B50" s="2">
        <v>46166</v>
      </c>
      <c r="C50" s="1" t="s">
        <v>91</v>
      </c>
      <c r="D50" s="1" t="s">
        <v>110</v>
      </c>
      <c r="E50" s="1" t="s">
        <v>54</v>
      </c>
      <c r="F50" s="1" t="s">
        <v>65</v>
      </c>
      <c r="G50" s="1">
        <v>3</v>
      </c>
      <c r="H50" s="3">
        <v>7500</v>
      </c>
      <c r="I50" s="3">
        <f t="shared" si="0"/>
        <v>22500</v>
      </c>
    </row>
    <row r="51" spans="1:10" ht="16.05" customHeight="1" x14ac:dyDescent="0.45">
      <c r="A51" s="1">
        <v>50</v>
      </c>
      <c r="B51" s="2">
        <v>46169</v>
      </c>
      <c r="C51" s="1" t="s">
        <v>115</v>
      </c>
      <c r="D51" s="1" t="s">
        <v>116</v>
      </c>
      <c r="E51" s="1" t="s">
        <v>58</v>
      </c>
      <c r="F51" s="1" t="s">
        <v>65</v>
      </c>
      <c r="G51" s="1">
        <v>7</v>
      </c>
      <c r="H51" s="3">
        <v>130000</v>
      </c>
      <c r="I51" s="3">
        <f t="shared" si="0"/>
        <v>910000</v>
      </c>
    </row>
    <row r="52" spans="1:10" ht="16.05" customHeight="1" x14ac:dyDescent="0.45">
      <c r="B52" s="2"/>
      <c r="G52" s="1">
        <f>COUNT(Table1[Quantity])</f>
        <v>50</v>
      </c>
      <c r="H52" s="3"/>
      <c r="I52" s="3">
        <f>SUM(Table1[[#Headers],[#Data],[Sales Amount]])</f>
        <v>12757700</v>
      </c>
      <c r="J52" s="1">
        <f>Table1[[#Totals],[Sales Amount]]/Table1[[#Totals],[Quantity]]</f>
        <v>255154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E1B6-2A0C-4E3E-94FC-D0BF07B0C32B}">
  <dimension ref="A1:R9"/>
  <sheetViews>
    <sheetView showGridLines="0" tabSelected="1" topLeftCell="A21" zoomScale="59" zoomScaleNormal="59" workbookViewId="0">
      <selection activeCell="R19" sqref="R19"/>
    </sheetView>
  </sheetViews>
  <sheetFormatPr defaultRowHeight="14.25" x14ac:dyDescent="0.45"/>
  <sheetData>
    <row r="1" spans="1:18" ht="28.5" x14ac:dyDescent="0.85">
      <c r="A1" s="14" t="s">
        <v>134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4" spans="1:18" ht="14.25" customHeight="1" x14ac:dyDescent="0.7">
      <c r="A4" s="13"/>
      <c r="B4" s="13"/>
      <c r="C4" s="13"/>
      <c r="D4" s="12" t="s">
        <v>135</v>
      </c>
      <c r="E4" s="12"/>
      <c r="F4" s="12"/>
      <c r="G4" s="12" t="s">
        <v>131</v>
      </c>
      <c r="H4" s="12"/>
      <c r="I4" s="12"/>
      <c r="J4" s="12" t="s">
        <v>132</v>
      </c>
      <c r="K4" s="12"/>
      <c r="L4" s="12"/>
      <c r="M4" s="12" t="s">
        <v>133</v>
      </c>
      <c r="N4" s="12"/>
      <c r="O4" s="12"/>
      <c r="P4" s="11"/>
      <c r="Q4" s="11"/>
      <c r="R4" s="11"/>
    </row>
    <row r="5" spans="1:18" ht="14.25" customHeight="1" x14ac:dyDescent="0.7">
      <c r="A5" s="13"/>
      <c r="B5" s="13"/>
      <c r="C5" s="13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11"/>
      <c r="R5" s="11"/>
    </row>
    <row r="6" spans="1:18" ht="14.25" customHeight="1" x14ac:dyDescent="0.7">
      <c r="A6" s="13"/>
      <c r="B6" s="13"/>
      <c r="C6" s="13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1"/>
      <c r="Q6" s="11"/>
      <c r="R6" s="11"/>
    </row>
    <row r="7" spans="1:18" ht="23.25" customHeight="1" x14ac:dyDescent="0.7">
      <c r="E7" s="10"/>
      <c r="F7" s="10"/>
      <c r="G7" s="10"/>
    </row>
    <row r="8" spans="1:18" ht="23.25" customHeight="1" x14ac:dyDescent="0.7">
      <c r="E8" s="10"/>
      <c r="F8" s="10"/>
      <c r="G8" s="10"/>
    </row>
    <row r="9" spans="1:18" ht="23.25" customHeight="1" x14ac:dyDescent="0.7">
      <c r="E9" s="10"/>
      <c r="F9" s="10"/>
      <c r="G9" s="10"/>
    </row>
  </sheetData>
  <mergeCells count="5">
    <mergeCell ref="J4:L6"/>
    <mergeCell ref="M4:O6"/>
    <mergeCell ref="A1:L1"/>
    <mergeCell ref="D4:F6"/>
    <mergeCell ref="G4:I6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nikhilvelayudham07@gmail.com</dc:creator>
  <cp:lastModifiedBy>nikhilvelayudham07@gmail.com</cp:lastModifiedBy>
  <dcterms:created xsi:type="dcterms:W3CDTF">2026-06-07T15:42:18Z</dcterms:created>
  <dcterms:modified xsi:type="dcterms:W3CDTF">2026-06-09T09:29:00Z</dcterms:modified>
</cp:coreProperties>
</file>