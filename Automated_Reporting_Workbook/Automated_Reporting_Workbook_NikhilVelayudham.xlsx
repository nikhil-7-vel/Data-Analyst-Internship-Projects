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EduSkills\Scholarx\"/>
    </mc:Choice>
  </mc:AlternateContent>
  <xr:revisionPtr revIDLastSave="0" documentId="8_{41DE4BD8-9BA7-4921-90EB-644131BA953B}" xr6:coauthVersionLast="47" xr6:coauthVersionMax="47" xr10:uidLastSave="{00000000-0000-0000-0000-000000000000}"/>
  <bookViews>
    <workbookView xWindow="-98" yWindow="-98" windowWidth="21795" windowHeight="12975" activeTab="2" xr2:uid="{9CAA07AC-E9A6-4E9E-A2A2-D26406CEF330}"/>
  </bookViews>
  <sheets>
    <sheet name="Sheet1" sheetId="1" r:id="rId1"/>
    <sheet name="Pivot_report" sheetId="2" r:id="rId2"/>
    <sheet name="Dashboard" sheetId="3"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I4" i="1"/>
  <c r="I3" i="1"/>
  <c r="I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3" i="1"/>
  <c r="E4" i="1"/>
  <c r="E5" i="1"/>
  <c r="E6" i="1"/>
  <c r="E7" i="1"/>
  <c r="E8"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2" i="1"/>
</calcChain>
</file>

<file path=xl/sharedStrings.xml><?xml version="1.0" encoding="utf-8"?>
<sst xmlns="http://schemas.openxmlformats.org/spreadsheetml/2006/main" count="235" uniqueCount="126">
  <si>
    <t xml:space="preserve">Order ID </t>
  </si>
  <si>
    <t xml:space="preserve">Date </t>
  </si>
  <si>
    <t>Product</t>
  </si>
  <si>
    <t>Category</t>
  </si>
  <si>
    <t>Region</t>
  </si>
  <si>
    <t>Quantity</t>
  </si>
  <si>
    <t xml:space="preserve">Sales Amount </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</si>
  <si>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</si>
  <si>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</si>
  <si>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</si>
  <si>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</si>
  <si>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</si>
  <si>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</si>
  <si>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</si>
  <si>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</si>
  <si>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</si>
  <si>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</si>
  <si>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</si>
  <si>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</si>
  <si>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</si>
  <si>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</si>
  <si>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</si>
  <si>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</si>
  <si>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</si>
  <si>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</si>
  <si>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</si>
  <si>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</si>
  <si>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</si>
  <si>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</si>
  <si>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</si>
  <si>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</si>
  <si>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</si>
  <si>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</si>
  <si>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</si>
  <si>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</si>
  <si>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</si>
  <si>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</si>
  <si>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</si>
  <si>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</si>
  <si>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</si>
  <si>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</si>
  <si>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</si>
  <si>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</si>
  <si>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</si>
  <si>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</si>
  <si>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</si>
  <si>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</si>
  <si>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</si>
  <si>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</si>
  <si>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</si>
  <si>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</si>
  <si>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</si>
  <si>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</si>
  <si>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</si>
  <si>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</si>
  <si>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</si>
  <si>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</si>
  <si>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</si>
  <si>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</si>
  <si>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</si>
  <si>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</si>
  <si>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</si>
  <si>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</si>
  <si>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</si>
  <si>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</si>
  <si>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</si>
  <si>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</si>
  <si>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</si>
  <si>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</si>
  <si>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</si>
  <si>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</si>
  <si>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</si>
  <si>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</si>
  <si>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</si>
  <si>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</si>
  <si>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</si>
  <si>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</si>
  <si>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</si>
  <si>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</si>
  <si>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</si>
  <si>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</si>
  <si>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</si>
  <si>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</si>
  <si>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</si>
  <si>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</si>
  <si>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</si>
  <si>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</si>
  <si>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</si>
  <si>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</si>
  <si>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</si>
  <si>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</si>
  <si>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</si>
  <si>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</si>
  <si>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</si>
  <si>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</si>
  <si>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</si>
  <si>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</si>
  <si>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</si>
  <si>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</si>
  <si>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</si>
  <si>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</si>
  <si>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</si>
  <si>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</si>
  <si>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</si>
  <si>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</si>
  <si>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</si>
  <si>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</si>
  <si>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Bike</t>
  </si>
  <si>
    <t>Row Labels</t>
  </si>
  <si>
    <t>East</t>
  </si>
  <si>
    <t>North</t>
  </si>
  <si>
    <t>South</t>
  </si>
  <si>
    <t>West</t>
  </si>
  <si>
    <t>Grand Total</t>
  </si>
  <si>
    <t xml:space="preserve">Sum of Sales Amount </t>
  </si>
  <si>
    <t>Electronics</t>
  </si>
  <si>
    <t>Fashion</t>
  </si>
  <si>
    <t>Vehicle</t>
  </si>
  <si>
    <t>Feb</t>
  </si>
  <si>
    <t>Mar</t>
  </si>
  <si>
    <t>Apr</t>
  </si>
  <si>
    <t>May</t>
  </si>
  <si>
    <t>iPhone</t>
  </si>
  <si>
    <t>MacBook</t>
  </si>
  <si>
    <t>T-Shirt</t>
  </si>
  <si>
    <t xml:space="preserve">                             AUTOMATED SALES REPORTING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</si>
</sst>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Times New Roman"/>
      <family val="1"/>
    </font>
    <font>
      <sz val="8"/>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14" fontId="1"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alignment horizontal="left"/>
    </xf>
  </cellXfs>
  <cellStyles count="1">
    <cellStyle name="Normal" xfId="0" builtinId="0"/>
  </cellStyles>
  <dxfs count="9">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dxf>
    <dxf>
      <font>
        <b val="0"/>
        <i val="0"/>
        <strike val="0"/>
        <condense val="0"/>
        <extend val="0"/>
        <outline val="0"/>
        <shadow val="0"/>
        <u val="none"/>
        <vertAlign val="baseline"/>
        <sz val="14"/>
        <color theme="1"/>
        <name val="Times New Roman"/>
        <family val="1"/>
        <scheme val="none"/>
      </font>
    </dxf>
    <dxf>
      <font>
        <b val="0"/>
        <i val="0"/>
        <strike val="0"/>
        <condense val="0"/>
        <extend val="0"/>
        <outline val="0"/>
        <shadow val="0"/>
        <u val="none"/>
        <vertAlign val="baseline"/>
        <sz val="14"/>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[Automated_Reporting_Workbook_NikhilVelayudham.xlsx]Pivot_report!PivotTable3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Pivot_report!$C$4</c:f>
              <c:strCache>
                <c:ptCount val="1"/>
                <c:pt idx="0">
                  <c:v>Total</c:v>
                </c:pt>
              </c:strCache>
            </c:strRef>
          </c:tx>
          <c:spPr>
            <a:solidFill>
              <a:schemeClr val="accent1"/>
            </a:solidFill>
            <a:ln>
              <a:noFill/>
            </a:ln>
            <a:effectLst/>
            <a:sp3d/>
          </c:spPr>
          <c:invertIfNegative val="0"/>
          <c:cat>
            <c:strRef>
              <c:f>Pivot_report!$B$5:$B$9</c:f>
              <c:strCache>
                <c:ptCount val="4"/>
                <c:pt idx="0">
                  <c:v>East</c:v>
                </c:pt>
                <c:pt idx="1">
                  <c:v>North</c:v>
                </c:pt>
                <c:pt idx="2">
                  <c:v>South</c:v>
                </c:pt>
                <c:pt idx="3">
                  <c:v>West</c:v>
                </c:pt>
              </c:strCache>
            </c:strRef>
          </c:cat>
          <c:val>
            <c:numRef>
              <c:f>Pivot_report!$C$5:$C$9</c:f>
              <c:numCache>
                <c:formatCode>General</c:formatCode>
                <c:ptCount val="4"/>
                <c:pt idx="0">
                  <c:v>249000</c:v>
                </c:pt>
                <c:pt idx="1">
                  <c:v>295000</c:v>
                </c:pt>
                <c:pt idx="2">
                  <c:v>370000</c:v>
                </c:pt>
                <c:pt idx="3">
                  <c:v>349000</c:v>
                </c:pt>
              </c:numCache>
            </c:numRef>
          </c:val>
          <c:extLst>
            <c:ext xmlns:c16="http://schemas.microsoft.com/office/drawing/2014/chart" uri="{C3380CC4-5D6E-409C-BE32-E72D297353CC}">
              <c16:uniqueId val="{00000000-4437-4A26-B7ED-45445CB13BA0}"/>
            </c:ext>
          </c:extLst>
        </c:ser>
        <c:dLbls>
          <c:showLegendKey val="0"/>
          <c:showVal val="0"/>
          <c:showCatName val="0"/>
          <c:showSerName val="0"/>
          <c:showPercent val="0"/>
          <c:showBubbleSize val="0"/>
        </c:dLbls>
        <c:gapWidth val="150"/>
        <c:shape val="box"/>
        <c:axId val="580080655"/>
        <c:axId val="580078255"/>
        <c:axId val="0"/>
      </c:bar3DChart>
      <c:catAx>
        <c:axId val="58008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78255"/>
        <c:crosses val="autoZero"/>
        <c:auto val="1"/>
        <c:lblAlgn val="ctr"/>
        <c:lblOffset val="100"/>
        <c:noMultiLvlLbl val="0"/>
      </c:catAx>
      <c:valAx>
        <c:axId val="58007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[Automated_Reporting_Workbook_NikhilVelayudham.xlsx]Pivot_report!PivotTable3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latin typeface="Times New Roman" panose="02020603050405020304" pitchFamily="18" charset="0"/>
                <a:cs typeface="Times New Roman" panose="02020603050405020304" pitchFamily="18" charset="0"/>
              </a:rPr>
              <a:t>Sales by Region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Pivot_report!$C$4</c:f>
              <c:strCache>
                <c:ptCount val="1"/>
                <c:pt idx="0">
                  <c:v>Total</c:v>
                </c:pt>
              </c:strCache>
            </c:strRef>
          </c:tx>
          <c:spPr>
            <a:solidFill>
              <a:schemeClr val="accent1"/>
            </a:solidFill>
            <a:ln>
              <a:noFill/>
            </a:ln>
            <a:effectLst/>
            <a:sp3d/>
          </c:spPr>
          <c:invertIfNegative val="0"/>
          <c:cat>
            <c:strRef>
              <c:f>Pivot_report!$B$5:$B$9</c:f>
              <c:strCache>
                <c:ptCount val="4"/>
                <c:pt idx="0">
                  <c:v>East</c:v>
                </c:pt>
                <c:pt idx="1">
                  <c:v>North</c:v>
                </c:pt>
                <c:pt idx="2">
                  <c:v>South</c:v>
                </c:pt>
                <c:pt idx="3">
                  <c:v>West</c:v>
                </c:pt>
              </c:strCache>
            </c:strRef>
          </c:cat>
          <c:val>
            <c:numRef>
              <c:f>Pivot_report!$C$5:$C$9</c:f>
              <c:numCache>
                <c:formatCode>General</c:formatCode>
                <c:ptCount val="4"/>
                <c:pt idx="0">
                  <c:v>249000</c:v>
                </c:pt>
                <c:pt idx="1">
                  <c:v>295000</c:v>
                </c:pt>
                <c:pt idx="2">
                  <c:v>370000</c:v>
                </c:pt>
                <c:pt idx="3">
                  <c:v>349000</c:v>
                </c:pt>
              </c:numCache>
            </c:numRef>
          </c:val>
          <c:extLst>
            <c:ext xmlns:c16="http://schemas.microsoft.com/office/drawing/2014/chart" uri="{C3380CC4-5D6E-409C-BE32-E72D297353CC}">
              <c16:uniqueId val="{00000000-FA20-4C69-8C20-DE23CF3C750E}"/>
            </c:ext>
          </c:extLst>
        </c:ser>
        <c:dLbls>
          <c:showLegendKey val="0"/>
          <c:showVal val="0"/>
          <c:showCatName val="0"/>
          <c:showSerName val="0"/>
          <c:showPercent val="0"/>
          <c:showBubbleSize val="0"/>
        </c:dLbls>
        <c:gapWidth val="150"/>
        <c:shape val="box"/>
        <c:axId val="580080655"/>
        <c:axId val="580078255"/>
        <c:axId val="0"/>
      </c:bar3DChart>
      <c:catAx>
        <c:axId val="58008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78255"/>
        <c:crosses val="autoZero"/>
        <c:auto val="1"/>
        <c:lblAlgn val="ctr"/>
        <c:lblOffset val="100"/>
        <c:noMultiLvlLbl val="0"/>
      </c:catAx>
      <c:valAx>
        <c:axId val="58007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[Automated_Reporting_Workbook_NikhilVelayudham.xlsx]Pivot_report!PivotTable4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Sales by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Pivot_report!$F$4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287-4D52-ABF7-9BBCEED8FD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287-4D52-ABF7-9BBCEED8FD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287-4D52-ABF7-9BBCEED8FD16}"/>
              </c:ext>
            </c:extLst>
          </c:dPt>
          <c:cat>
            <c:strRef>
              <c:f>Pivot_report!$E$5:$E$8</c:f>
              <c:strCache>
                <c:ptCount val="3"/>
                <c:pt idx="0">
                  <c:v>Electronics</c:v>
                </c:pt>
                <c:pt idx="1">
                  <c:v>Fashion</c:v>
                </c:pt>
                <c:pt idx="2">
                  <c:v>Vehicle</c:v>
                </c:pt>
              </c:strCache>
            </c:strRef>
          </c:cat>
          <c:val>
            <c:numRef>
              <c:f>Pivot_report!$F$5:$F$8</c:f>
              <c:numCache>
                <c:formatCode>General</c:formatCode>
                <c:ptCount val="3"/>
                <c:pt idx="0">
                  <c:v>426000</c:v>
                </c:pt>
                <c:pt idx="1">
                  <c:v>447000</c:v>
                </c:pt>
                <c:pt idx="2">
                  <c:v>390000</c:v>
                </c:pt>
              </c:numCache>
            </c:numRef>
          </c:val>
          <c:extLst>
            <c:ext xmlns:c16="http://schemas.microsoft.com/office/drawing/2014/chart" uri="{C3380CC4-5D6E-409C-BE32-E72D297353CC}">
              <c16:uniqueId val="{00000006-E287-4D52-ABF7-9BBCEED8FD1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[Automated_Reporting_Workbook_NikhilVelayudham.xlsx]Pivot_report!PivotTable5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Monthly Sales Trend</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Pivot_report!$I$4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Pivot_report!$H$5:$H$9</c:f>
              <c:strCache>
                <c:ptCount val="4"/>
                <c:pt idx="0">
                  <c:v>Feb</c:v>
                </c:pt>
                <c:pt idx="1">
                  <c:v>Mar</c:v>
                </c:pt>
                <c:pt idx="2">
                  <c:v>Apr</c:v>
                </c:pt>
                <c:pt idx="3">
                  <c:v>May</c:v>
                </c:pt>
              </c:strCache>
            </c:strRef>
          </c:cat>
          <c:val>
            <c:numRef>
              <c:f>Pivot_report!$I$5:$I$9</c:f>
              <c:numCache>
                <c:formatCode>General</c:formatCode>
                <c:ptCount val="4"/>
                <c:pt idx="0">
                  <c:v>365000</c:v>
                </c:pt>
                <c:pt idx="1">
                  <c:v>397000</c:v>
                </c:pt>
                <c:pt idx="2">
                  <c:v>372000</c:v>
                </c:pt>
                <c:pt idx="3">
                  <c:v>129000</c:v>
                </c:pt>
              </c:numCache>
            </c:numRef>
          </c:val>
          <c:smooth val="0"/>
          <c:extLst>
            <c:ext xmlns:c16="http://schemas.microsoft.com/office/drawing/2014/chart" uri="{C3380CC4-5D6E-409C-BE32-E72D297353CC}">
              <c16:uniqueId val="{00000000-946B-4C78-AA23-50526AC4B403}"/>
            </c:ext>
          </c:extLst>
        </c:ser>
        <c:dLbls>
          <c:showLegendKey val="0"/>
          <c:showVal val="0"/>
          <c:showCatName val="0"/>
          <c:showSerName val="0"/>
          <c:showPercent val="0"/>
          <c:showBubbleSize val="0"/>
        </c:dLbls>
        <c:marker val="1"/>
        <c:smooth val="0"/>
        <c:axId val="581260911"/>
        <c:axId val="581264751"/>
      </c:lineChart>
      <c:catAx>
        <c:axId val="5812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64751"/>
        <c:crosses val="autoZero"/>
        <c:auto val="1"/>
        <c:lblAlgn val="ctr"/>
        <c:lblOffset val="100"/>
        <c:noMultiLvlLbl val="0"/>
      </c:catAx>
      <c:valAx>
        <c:axId val="58126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6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[Automated_Reporting_Workbook_NikhilVelayudham.xlsx]Pivot_report!PivotTable6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Top 10 Products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Pivot_report!$C$13</c:f>
              <c:strCache>
                <c:ptCount val="1"/>
                <c:pt idx="0">
                  <c:v>Total</c:v>
                </c:pt>
              </c:strCache>
            </c:strRef>
          </c:tx>
          <c:spPr>
            <a:solidFill>
              <a:schemeClr val="accent1"/>
            </a:solidFill>
            <a:ln>
              <a:noFill/>
            </a:ln>
            <a:effectLst/>
            <a:sp3d/>
          </c:spPr>
          <c:invertIfNegative val="0"/>
          <c:cat>
            <c:strRef>
              <c:f>Pivot_report!$B$14:$B$18</c:f>
              <c:strCache>
                <c:ptCount val="4"/>
                <c:pt idx="0">
                  <c:v>MacBook</c:v>
                </c:pt>
                <c:pt idx="1">
                  <c:v>iPhone</c:v>
                </c:pt>
                <c:pt idx="2">
                  <c:v>T-Shirt</c:v>
                </c:pt>
                <c:pt idx="3">
                  <c:v>Bike</c:v>
                </c:pt>
              </c:strCache>
            </c:strRef>
          </c:cat>
          <c:val>
            <c:numRef>
              <c:f>Pivot_report!$C$14:$C$18</c:f>
              <c:numCache>
                <c:formatCode>General</c:formatCode>
                <c:ptCount val="4"/>
                <c:pt idx="0">
                  <c:v>347000</c:v>
                </c:pt>
                <c:pt idx="1">
                  <c:v>341000</c:v>
                </c:pt>
                <c:pt idx="2">
                  <c:v>293000</c:v>
                </c:pt>
                <c:pt idx="3">
                  <c:v>282000</c:v>
                </c:pt>
              </c:numCache>
            </c:numRef>
          </c:val>
          <c:extLst>
            <c:ext xmlns:c16="http://schemas.microsoft.com/office/drawing/2014/chart" uri="{C3380CC4-5D6E-409C-BE32-E72D297353CC}">
              <c16:uniqueId val="{00000000-6626-42C5-9C5D-9C0ED5C2D133}"/>
            </c:ext>
          </c:extLst>
        </c:ser>
        <c:dLbls>
          <c:showLegendKey val="0"/>
          <c:showVal val="0"/>
          <c:showCatName val="0"/>
          <c:showSerName val="0"/>
          <c:showPercent val="0"/>
          <c:showBubbleSize val="0"/>
        </c:dLbls>
        <c:gapWidth val="150"/>
        <c:shape val="box"/>
        <c:axId val="581280111"/>
        <c:axId val="581280591"/>
        <c:axId val="0"/>
      </c:bar3DChart>
      <c:catAx>
        <c:axId val="58128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80591"/>
        <c:crosses val="autoZero"/>
        <c:auto val="1"/>
        <c:lblAlgn val="ctr"/>
        <c:lblOffset val="100"/>
        <c:noMultiLvlLbl val="0"/>
      </c:catAx>
      <c:valAx>
        <c:axId val="58128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478630</xdr:colOff>
      <xdr:row>7</xdr:row>
      <xdr:rowOff>47625</xdr:rowOff>
    </xdr:from>
    <xdr:to>
      <xdr:col>8</xdr:col>
      <xdr:colOff>688180</xdr:colOff>
      <xdr:row>22</xdr:row>
      <xdr:rowOff>76200</xdr:rowOff>
    </xdr:to>
    <xdr:graphicFrame macro="">
      <xdr:nvGraphicFramePr>
        <xdr:cNvPr id="2" name="Chart 1">
          <a:extLst>
            <a:ext uri="{FF2B5EF4-FFF2-40B4-BE49-F238E27FC236}">
              <a16:creationId xmlns:a16="http://schemas.microsoft.com/office/drawing/2014/main" id="{06BCE8E5-B61F-6432-0870-31C2BCB2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14288</xdr:colOff>
      <xdr:row>3</xdr:row>
      <xdr:rowOff>19050</xdr:rowOff>
    </xdr:from>
    <xdr:to>
      <xdr:col>14</xdr:col>
      <xdr:colOff>638175</xdr:colOff>
      <xdr:row>7</xdr:row>
      <xdr:rowOff>147638</xdr:rowOff>
    </xdr:to>
    <xdr:sp macro="" textlink="">
      <xdr:nvSpPr>
        <xdr:cNvPr id="2" name="TextBox 1">
          <a:extLst>
            <a:ext uri="{FF2B5EF4-FFF2-40B4-BE49-F238E27FC236}">
              <a16:creationId xmlns:a16="http://schemas.microsoft.com/office/drawing/2014/main" id="{76CBC1A3-926B-6EAD-A273-4A3651D9E7A6}"/>
            </a:ext>
          </a:extLst>
        </xdr:cNvPr>
        <xdr:cNvSpPr txBox="1"/>
      </xdr:nvSpPr>
      <xdr:spPr>
        <a:xfrm>
          <a:off x="3252788" y="561975"/>
          <a:ext cx="6453187" cy="8524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28575</xdr:colOff>
      <xdr:row>3</xdr:row>
      <xdr:rowOff>28575</xdr:rowOff>
    </xdr:from>
    <xdr:to>
      <xdr:col>7</xdr:col>
      <xdr:colOff>357188</xdr:colOff>
      <xdr:row>7</xdr:row>
      <xdr:rowOff>152400</xdr:rowOff>
    </xdr:to>
    <xdr:sp macro="" textlink="">
      <xdr:nvSpPr>
        <xdr:cNvPr id="3" name="Rectangle 2">
          <a:extLst>
            <a:ext uri="{FF2B5EF4-FFF2-40B4-BE49-F238E27FC236}">
              <a16:creationId xmlns:a16="http://schemas.microsoft.com/office/drawing/2014/main" id="{370B0042-17F2-586A-0BBC-4FD12D307A5D}"/>
            </a:ext>
          </a:extLst>
        </xdr:cNvPr>
        <xdr:cNvSpPr/>
      </xdr:nvSpPr>
      <xdr:spPr>
        <a:xfrm>
          <a:off x="3267075" y="571500"/>
          <a:ext cx="1624013" cy="847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FFFF00"/>
              </a:solidFill>
              <a:latin typeface="Times New Roman" panose="02020603050405020304" pitchFamily="18" charset="0"/>
              <a:cs typeface="Times New Roman" panose="02020603050405020304" pitchFamily="18" charset="0"/>
            </a:rPr>
            <a:t>Total Sales</a:t>
          </a:r>
          <a:br>
            <a:rPr lang="en-IN" sz="1800">
              <a:solidFill>
                <a:srgbClr val="FFFF00"/>
              </a:solidFill>
              <a:latin typeface="Times New Roman" panose="02020603050405020304" pitchFamily="18" charset="0"/>
              <a:cs typeface="Times New Roman" panose="02020603050405020304" pitchFamily="18" charset="0"/>
            </a:rPr>
          </a:br>
          <a:r>
            <a:rPr lang="en-IN" sz="1800">
              <a:solidFill>
                <a:srgbClr val="FFFF00"/>
              </a:solidFill>
              <a:latin typeface="Times New Roman" panose="02020603050405020304" pitchFamily="18" charset="0"/>
              <a:cs typeface="Times New Roman" panose="02020603050405020304" pitchFamily="18" charset="0"/>
            </a:rPr>
            <a:t>=1263000</a:t>
          </a:r>
        </a:p>
      </xdr:txBody>
    </xdr:sp>
    <xdr:clientData/>
  </xdr:twoCellAnchor>
  <xdr:twoCellAnchor>
    <xdr:from>
      <xdr:col>7</xdr:col>
      <xdr:colOff>357188</xdr:colOff>
      <xdr:row>3</xdr:row>
      <xdr:rowOff>28575</xdr:rowOff>
    </xdr:from>
    <xdr:to>
      <xdr:col>10</xdr:col>
      <xdr:colOff>38101</xdr:colOff>
      <xdr:row>7</xdr:row>
      <xdr:rowOff>152400</xdr:rowOff>
    </xdr:to>
    <xdr:sp macro="" textlink="">
      <xdr:nvSpPr>
        <xdr:cNvPr id="4" name="Rectangle 3">
          <a:extLst>
            <a:ext uri="{FF2B5EF4-FFF2-40B4-BE49-F238E27FC236}">
              <a16:creationId xmlns:a16="http://schemas.microsoft.com/office/drawing/2014/main" id="{9F359F5A-1677-429F-BC91-D5BE8BF3B3F9}"/>
            </a:ext>
          </a:extLst>
        </xdr:cNvPr>
        <xdr:cNvSpPr/>
      </xdr:nvSpPr>
      <xdr:spPr>
        <a:xfrm>
          <a:off x="4891088" y="571500"/>
          <a:ext cx="1624013" cy="847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FFFF00"/>
              </a:solidFill>
              <a:latin typeface="Times New Roman" panose="02020603050405020304" pitchFamily="18" charset="0"/>
              <a:cs typeface="Times New Roman" panose="02020603050405020304" pitchFamily="18" charset="0"/>
            </a:rPr>
            <a:t>Total Orders</a:t>
          </a:r>
          <a:br>
            <a:rPr lang="en-IN" sz="1800">
              <a:solidFill>
                <a:srgbClr val="FFFF00"/>
              </a:solidFill>
              <a:latin typeface="Times New Roman" panose="02020603050405020304" pitchFamily="18" charset="0"/>
              <a:cs typeface="Times New Roman" panose="02020603050405020304" pitchFamily="18" charset="0"/>
            </a:rPr>
          </a:br>
          <a:r>
            <a:rPr lang="en-IN" sz="1800">
              <a:solidFill>
                <a:srgbClr val="FFFF00"/>
              </a:solidFill>
              <a:latin typeface="Times New Roman" panose="02020603050405020304" pitchFamily="18" charset="0"/>
              <a:cs typeface="Times New Roman" panose="02020603050405020304" pitchFamily="18" charset="0"/>
            </a:rPr>
            <a:t>=100</a:t>
          </a:r>
        </a:p>
      </xdr:txBody>
    </xdr:sp>
    <xdr:clientData/>
  </xdr:twoCellAnchor>
  <xdr:twoCellAnchor>
    <xdr:from>
      <xdr:col>10</xdr:col>
      <xdr:colOff>42863</xdr:colOff>
      <xdr:row>3</xdr:row>
      <xdr:rowOff>19050</xdr:rowOff>
    </xdr:from>
    <xdr:to>
      <xdr:col>12</xdr:col>
      <xdr:colOff>371476</xdr:colOff>
      <xdr:row>7</xdr:row>
      <xdr:rowOff>142875</xdr:rowOff>
    </xdr:to>
    <xdr:sp macro="" textlink="">
      <xdr:nvSpPr>
        <xdr:cNvPr id="5" name="Rectangle 4">
          <a:extLst>
            <a:ext uri="{FF2B5EF4-FFF2-40B4-BE49-F238E27FC236}">
              <a16:creationId xmlns:a16="http://schemas.microsoft.com/office/drawing/2014/main" id="{119C61FE-F490-4339-9280-4635BBEB524F}"/>
            </a:ext>
          </a:extLst>
        </xdr:cNvPr>
        <xdr:cNvSpPr/>
      </xdr:nvSpPr>
      <xdr:spPr>
        <a:xfrm>
          <a:off x="6519863" y="561975"/>
          <a:ext cx="1624013" cy="847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FFFF00"/>
              </a:solidFill>
              <a:latin typeface="Times New Roman" panose="02020603050405020304" pitchFamily="18" charset="0"/>
              <a:cs typeface="Times New Roman" panose="02020603050405020304" pitchFamily="18" charset="0"/>
            </a:rPr>
            <a:t>Total Quantity</a:t>
          </a:r>
          <a:br>
            <a:rPr lang="en-IN" sz="1800">
              <a:solidFill>
                <a:srgbClr val="FFFF00"/>
              </a:solidFill>
              <a:latin typeface="Times New Roman" panose="02020603050405020304" pitchFamily="18" charset="0"/>
              <a:cs typeface="Times New Roman" panose="02020603050405020304" pitchFamily="18" charset="0"/>
            </a:rPr>
          </a:br>
          <a:r>
            <a:rPr lang="en-IN" sz="1800">
              <a:solidFill>
                <a:srgbClr val="FFFF00"/>
              </a:solidFill>
              <a:latin typeface="Times New Roman" panose="02020603050405020304" pitchFamily="18" charset="0"/>
              <a:cs typeface="Times New Roman" panose="02020603050405020304" pitchFamily="18" charset="0"/>
            </a:rPr>
            <a:t>=370 </a:t>
          </a:r>
        </a:p>
      </xdr:txBody>
    </xdr:sp>
    <xdr:clientData/>
  </xdr:twoCellAnchor>
  <xdr:twoCellAnchor>
    <xdr:from>
      <xdr:col>12</xdr:col>
      <xdr:colOff>381000</xdr:colOff>
      <xdr:row>3</xdr:row>
      <xdr:rowOff>9525</xdr:rowOff>
    </xdr:from>
    <xdr:to>
      <xdr:col>15</xdr:col>
      <xdr:colOff>638175</xdr:colOff>
      <xdr:row>7</xdr:row>
      <xdr:rowOff>157163</xdr:rowOff>
    </xdr:to>
    <xdr:sp macro="" textlink="">
      <xdr:nvSpPr>
        <xdr:cNvPr id="7" name="Rectangle 6">
          <a:extLst>
            <a:ext uri="{FF2B5EF4-FFF2-40B4-BE49-F238E27FC236}">
              <a16:creationId xmlns:a16="http://schemas.microsoft.com/office/drawing/2014/main" id="{94DCC7B2-FA34-4B3A-974F-174EA40AC490}"/>
            </a:ext>
          </a:extLst>
        </xdr:cNvPr>
        <xdr:cNvSpPr/>
      </xdr:nvSpPr>
      <xdr:spPr>
        <a:xfrm>
          <a:off x="8153400" y="552450"/>
          <a:ext cx="2200275" cy="8715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FFFF00"/>
              </a:solidFill>
              <a:latin typeface="Times New Roman" panose="02020603050405020304" pitchFamily="18" charset="0"/>
              <a:cs typeface="Times New Roman" panose="02020603050405020304" pitchFamily="18" charset="0"/>
            </a:rPr>
            <a:t>Average Order Value</a:t>
          </a:r>
          <a:br>
            <a:rPr lang="en-IN" sz="1800">
              <a:solidFill>
                <a:srgbClr val="FFFF00"/>
              </a:solidFill>
              <a:latin typeface="Times New Roman" panose="02020603050405020304" pitchFamily="18" charset="0"/>
              <a:cs typeface="Times New Roman" panose="02020603050405020304" pitchFamily="18" charset="0"/>
            </a:rPr>
          </a:br>
          <a:r>
            <a:rPr lang="en-IN" sz="1800">
              <a:solidFill>
                <a:srgbClr val="FFFF00"/>
              </a:solidFill>
              <a:latin typeface="Times New Roman" panose="02020603050405020304" pitchFamily="18" charset="0"/>
              <a:cs typeface="Times New Roman" panose="02020603050405020304" pitchFamily="18" charset="0"/>
            </a:rPr>
            <a:t>=12630 </a:t>
          </a:r>
        </a:p>
      </xdr:txBody>
    </xdr:sp>
    <xdr:clientData/>
  </xdr:twoCellAnchor>
  <xdr:twoCellAnchor>
    <xdr:from>
      <xdr:col>4</xdr:col>
      <xdr:colOff>647699</xdr:colOff>
      <xdr:row>14</xdr:row>
      <xdr:rowOff>0</xdr:rowOff>
    </xdr:from>
    <xdr:to>
      <xdr:col>10</xdr:col>
      <xdr:colOff>485774</xdr:colOff>
      <xdr:row>29</xdr:row>
      <xdr:rowOff>28575</xdr:rowOff>
    </xdr:to>
    <xdr:graphicFrame macro="">
      <xdr:nvGraphicFramePr>
        <xdr:cNvPr id="13" name="Chart 12">
          <a:extLst>
            <a:ext uri="{FF2B5EF4-FFF2-40B4-BE49-F238E27FC236}">
              <a16:creationId xmlns:a16="http://schemas.microsoft.com/office/drawing/2014/main" id="{9AD7E632-E754-4C0E-9D64-4A9F459F0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352427</xdr:colOff>
      <xdr:row>13</xdr:row>
      <xdr:rowOff>161925</xdr:rowOff>
    </xdr:from>
    <xdr:to>
      <xdr:col>16</xdr:col>
      <xdr:colOff>166689</xdr:colOff>
      <xdr:row>29</xdr:row>
      <xdr:rowOff>47625</xdr:rowOff>
    </xdr:to>
    <xdr:graphicFrame macro="">
      <xdr:nvGraphicFramePr>
        <xdr:cNvPr id="14" name="Chart 13">
          <a:extLst>
            <a:ext uri="{FF2B5EF4-FFF2-40B4-BE49-F238E27FC236}">
              <a16:creationId xmlns:a16="http://schemas.microsoft.com/office/drawing/2014/main" id="{30BE2D45-8FEB-4174-8EBB-3A3E842BC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34</xdr:row>
      <xdr:rowOff>180974</xdr:rowOff>
    </xdr:from>
    <xdr:to>
      <xdr:col>10</xdr:col>
      <xdr:colOff>357189</xdr:colOff>
      <xdr:row>49</xdr:row>
      <xdr:rowOff>157162</xdr:rowOff>
    </xdr:to>
    <xdr:graphicFrame macro="">
      <xdr:nvGraphicFramePr>
        <xdr:cNvPr id="15" name="Chart 14">
          <a:extLst>
            <a:ext uri="{FF2B5EF4-FFF2-40B4-BE49-F238E27FC236}">
              <a16:creationId xmlns:a16="http://schemas.microsoft.com/office/drawing/2014/main" id="{9EE6BBA0-14D6-4428-B9F4-38F7F51B8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342902</xdr:colOff>
      <xdr:row>34</xdr:row>
      <xdr:rowOff>180973</xdr:rowOff>
    </xdr:from>
    <xdr:to>
      <xdr:col>18</xdr:col>
      <xdr:colOff>414338</xdr:colOff>
      <xdr:row>49</xdr:row>
      <xdr:rowOff>114300</xdr:rowOff>
    </xdr:to>
    <xdr:graphicFrame macro="">
      <xdr:nvGraphicFramePr>
        <xdr:cNvPr id="16" name="Chart 15">
          <a:extLst>
            <a:ext uri="{FF2B5EF4-FFF2-40B4-BE49-F238E27FC236}">
              <a16:creationId xmlns:a16="http://schemas.microsoft.com/office/drawing/2014/main" id="{7B70D72D-ACC4-4357-B6DE-FE3920D03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423863</xdr:colOff>
      <xdr:row>14</xdr:row>
      <xdr:rowOff>11112</xdr:rowOff>
    </xdr:from>
    <xdr:to>
      <xdr:col>24</xdr:col>
      <xdr:colOff>300038</xdr:colOff>
      <xdr:row>27</xdr:row>
      <xdr:rowOff>161924</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3DF82BB6-A300-AF16-F971-15C2068BAD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025563" y="2687637"/>
              <a:ext cx="1819275" cy="250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423863</xdr:colOff>
      <xdr:row>14</xdr:row>
      <xdr:rowOff>19050</xdr:rowOff>
    </xdr:from>
    <xdr:to>
      <xdr:col>20</xdr:col>
      <xdr:colOff>300038</xdr:colOff>
      <xdr:row>27</xdr:row>
      <xdr:rowOff>169862</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EC7FE992-8398-97EB-3F3B-7677EE26C6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4763" y="2695575"/>
              <a:ext cx="1819275" cy="250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14288</xdr:colOff>
      <xdr:row>1</xdr:row>
      <xdr:rowOff>4763</xdr:rowOff>
    </xdr:from>
    <xdr:to>
      <xdr:col>20</xdr:col>
      <xdr:colOff>433388</xdr:colOff>
      <xdr:row>2</xdr:row>
      <xdr:rowOff>76200</xdr:rowOff>
    </xdr:to>
    <xdr:sp macro="" textlink="">
      <xdr:nvSpPr>
        <xdr:cNvPr id="20" name="TextBox 19">
          <a:extLst>
            <a:ext uri="{FF2B5EF4-FFF2-40B4-BE49-F238E27FC236}">
              <a16:creationId xmlns:a16="http://schemas.microsoft.com/office/drawing/2014/main" id="{0DF90E9F-7086-FDF0-C534-A109503F30EA}"/>
            </a:ext>
          </a:extLst>
        </xdr:cNvPr>
        <xdr:cNvSpPr txBox="1"/>
      </xdr:nvSpPr>
      <xdr:spPr>
        <a:xfrm>
          <a:off x="5195888" y="185738"/>
          <a:ext cx="8191500" cy="395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C00000"/>
              </a:solidFill>
              <a:latin typeface="Times New Roman" panose="02020603050405020304" pitchFamily="18" charset="0"/>
              <a:cs typeface="Times New Roman" panose="02020603050405020304" pitchFamily="18" charset="0"/>
            </a:rPr>
            <a:t>AUTOMATED SALES REPORTING DASHBOARD</a:t>
          </a:r>
        </a:p>
      </xdr:txBody>
    </xdr:sp>
    <xdr:clientData/>
  </xdr:twoCellAnchor>
  <xdr:twoCellAnchor>
    <xdr:from>
      <xdr:col>16</xdr:col>
      <xdr:colOff>647699</xdr:colOff>
      <xdr:row>52</xdr:row>
      <xdr:rowOff>104775</xdr:rowOff>
    </xdr:from>
    <xdr:to>
      <xdr:col>22</xdr:col>
      <xdr:colOff>638174</xdr:colOff>
      <xdr:row>61</xdr:row>
      <xdr:rowOff>161925</xdr:rowOff>
    </xdr:to>
    <xdr:sp macro="" textlink="">
      <xdr:nvSpPr>
        <xdr:cNvPr id="21" name="TextBox 20">
          <a:extLst>
            <a:ext uri="{FF2B5EF4-FFF2-40B4-BE49-F238E27FC236}">
              <a16:creationId xmlns:a16="http://schemas.microsoft.com/office/drawing/2014/main" id="{815CE4F8-241D-73C9-206C-58068A0E81D5}"/>
            </a:ext>
          </a:extLst>
        </xdr:cNvPr>
        <xdr:cNvSpPr txBox="1"/>
      </xdr:nvSpPr>
      <xdr:spPr>
        <a:xfrm>
          <a:off x="11010899" y="9658350"/>
          <a:ext cx="3876675" cy="16859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gradFill>
                <a:gsLst>
                  <a:gs pos="71000">
                    <a:schemeClr val="accent6">
                      <a:lumMod val="75000"/>
                    </a:schemeClr>
                  </a:gs>
                  <a:gs pos="83000">
                    <a:schemeClr val="accent1">
                      <a:lumMod val="45000"/>
                      <a:lumOff val="55000"/>
                    </a:schemeClr>
                  </a:gs>
                  <a:gs pos="100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Key Insights:</a:t>
          </a:r>
        </a:p>
        <a:p>
          <a:r>
            <a:rPr lang="en-IN" sz="1400">
              <a:gradFill>
                <a:gsLst>
                  <a:gs pos="71000">
                    <a:schemeClr val="accent6">
                      <a:lumMod val="75000"/>
                    </a:schemeClr>
                  </a:gs>
                  <a:gs pos="83000">
                    <a:schemeClr val="accent1">
                      <a:lumMod val="45000"/>
                      <a:lumOff val="55000"/>
                    </a:schemeClr>
                  </a:gs>
                  <a:gs pos="100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 South region generated the highest sales.</a:t>
          </a:r>
        </a:p>
        <a:p>
          <a:r>
            <a:rPr lang="en-IN" sz="1400">
              <a:gradFill>
                <a:gsLst>
                  <a:gs pos="71000">
                    <a:schemeClr val="accent6">
                      <a:lumMod val="75000"/>
                    </a:schemeClr>
                  </a:gs>
                  <a:gs pos="83000">
                    <a:schemeClr val="accent1">
                      <a:lumMod val="45000"/>
                      <a:lumOff val="55000"/>
                    </a:schemeClr>
                  </a:gs>
                  <a:gs pos="100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 Fashion category contributed the largest revenue share.</a:t>
          </a:r>
        </a:p>
        <a:p>
          <a:r>
            <a:rPr lang="en-IN" sz="1400">
              <a:gradFill>
                <a:gsLst>
                  <a:gs pos="71000">
                    <a:schemeClr val="accent6">
                      <a:lumMod val="75000"/>
                    </a:schemeClr>
                  </a:gs>
                  <a:gs pos="83000">
                    <a:schemeClr val="accent1">
                      <a:lumMod val="45000"/>
                      <a:lumOff val="55000"/>
                    </a:schemeClr>
                  </a:gs>
                  <a:gs pos="100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 March recorded the highest monthly sales.</a:t>
          </a:r>
        </a:p>
        <a:p>
          <a:r>
            <a:rPr lang="en-IN" sz="1400">
              <a:gradFill>
                <a:gsLst>
                  <a:gs pos="71000">
                    <a:schemeClr val="accent6">
                      <a:lumMod val="75000"/>
                    </a:schemeClr>
                  </a:gs>
                  <a:gs pos="83000">
                    <a:schemeClr val="accent1">
                      <a:lumMod val="45000"/>
                      <a:lumOff val="55000"/>
                    </a:schemeClr>
                  </a:gs>
                  <a:gs pos="100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 MacBook and iPhone are top-selling products.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190.449902430555" createdVersion="8" refreshedVersion="8" minRefreshableVersion="3" recordCount="100" xr:uid="{1488EE87-76B9-4BC3-AFC9-7D790A038977}">
  <cacheSource type="worksheet">
    <worksheetSource name="Table1"/>
  </cacheSource>
  <cacheFields count="8">
    <cacheField name="Order ID " numFmtId="0">
      <sharedItems/>
    </cacheField>
    <cacheField name="Date " numFmtId="14">
      <sharedItems containsSemiMixedTypes="0" containsNonDate="0" containsDate="1" containsString="0" minDate="2024-02-01T00:00:00" maxDate="2024-05-11T00:00:00" count="1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sharedItems>
      <fieldGroup par="7"/>
    </cacheField>
    <cacheField name="Product" numFmtId="0">
      <sharedItems count="4">
        <s v="Bike"/>
        <s v="MacBook"/>
        <s v="iPhone"/>
        <s v="T-Shirt"/>
      </sharedItems>
    </cacheField>
    <cacheField name="Category" numFmtId="0">
      <sharedItems count="3">
        <s v="Electronics"/>
        <s v="Vehicle"/>
        <s v="Fashion"/>
      </sharedItems>
    </cacheField>
    <cacheField name="Region" numFmtId="0">
      <sharedItems count="4">
        <s v="West"/>
        <s v="North"/>
        <s v="East"/>
        <s v="South"/>
      </sharedItems>
    </cacheField>
    <cacheField name="Quantity" numFmtId="0">
      <sharedItems containsSemiMixedTypes="0" containsString="0" containsNumber="1" containsInteger="1" minValue="1" maxValue="7"/>
    </cacheField>
    <cacheField name="Sales Amount " numFmtId="0">
      <sharedItems containsSemiMixedTypes="0" containsString="0" containsNumber="1" containsInteger="1" minValue="10000" maxValue="15000"/>
    </cacheField>
    <cacheField name="Months (Date )" numFmtId="0" databaseField="0">
      <fieldGroup base="1">
        <rangePr groupBy="months" startDate="2024-02-01T00:00:00" endDate="2024-05-11T00:00:00"/>
        <groupItems count="14">
          <s v="&lt;01-02-2024"/>
          <s v="Jan"/>
          <s v="Feb"/>
          <s v="Mar"/>
          <s v="Apr"/>
          <s v="May"/>
          <s v="Jun"/>
          <s v="Jul"/>
          <s v="Aug"/>
          <s v="Sep"/>
          <s v="Oct"/>
          <s v="Nov"/>
          <s v="Dec"/>
          <s v="&gt;11-05-2024"/>
        </groupItems>
      </fieldGroup>
    </cacheField>
  </cacheFields>
  <extLst>
    <ext xmlns:x14="http://schemas.microsoft.com/office/spreadsheetml/2009/9/main" uri="{725AE2AE-9491-48be-B2B4-4EB974FC3084}">
      <x14:pivotCacheDefinition pivotCacheId="797738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0001"/>
    <x v="0"/>
    <x v="0"/>
    <x v="0"/>
    <x v="0"/>
    <n v="2"/>
    <n v="13000"/>
  </r>
  <r>
    <s v="O0002"/>
    <x v="1"/>
    <x v="1"/>
    <x v="0"/>
    <x v="1"/>
    <n v="6"/>
    <n v="11000"/>
  </r>
  <r>
    <s v="O0003"/>
    <x v="2"/>
    <x v="2"/>
    <x v="0"/>
    <x v="2"/>
    <n v="7"/>
    <n v="13000"/>
  </r>
  <r>
    <s v="O0004"/>
    <x v="3"/>
    <x v="1"/>
    <x v="1"/>
    <x v="3"/>
    <n v="5"/>
    <n v="10000"/>
  </r>
  <r>
    <s v="O0005"/>
    <x v="4"/>
    <x v="2"/>
    <x v="0"/>
    <x v="0"/>
    <n v="3"/>
    <n v="12000"/>
  </r>
  <r>
    <s v="O0006"/>
    <x v="5"/>
    <x v="2"/>
    <x v="1"/>
    <x v="0"/>
    <n v="5"/>
    <n v="15000"/>
  </r>
  <r>
    <s v="O0007"/>
    <x v="6"/>
    <x v="3"/>
    <x v="0"/>
    <x v="3"/>
    <n v="7"/>
    <n v="11000"/>
  </r>
  <r>
    <s v="O0008"/>
    <x v="7"/>
    <x v="3"/>
    <x v="2"/>
    <x v="3"/>
    <n v="2"/>
    <n v="10000"/>
  </r>
  <r>
    <s v="O0009"/>
    <x v="8"/>
    <x v="2"/>
    <x v="0"/>
    <x v="3"/>
    <n v="1"/>
    <n v="12000"/>
  </r>
  <r>
    <s v="O0010"/>
    <x v="9"/>
    <x v="1"/>
    <x v="0"/>
    <x v="1"/>
    <n v="2"/>
    <n v="12000"/>
  </r>
  <r>
    <s v="O0011"/>
    <x v="10"/>
    <x v="0"/>
    <x v="2"/>
    <x v="2"/>
    <n v="3"/>
    <n v="14000"/>
  </r>
  <r>
    <s v="O0012"/>
    <x v="11"/>
    <x v="0"/>
    <x v="1"/>
    <x v="0"/>
    <n v="5"/>
    <n v="10000"/>
  </r>
  <r>
    <s v="O0013"/>
    <x v="12"/>
    <x v="3"/>
    <x v="2"/>
    <x v="3"/>
    <n v="7"/>
    <n v="15000"/>
  </r>
  <r>
    <s v="O0014"/>
    <x v="13"/>
    <x v="1"/>
    <x v="2"/>
    <x v="2"/>
    <n v="6"/>
    <n v="13000"/>
  </r>
  <r>
    <s v="O0015"/>
    <x v="14"/>
    <x v="1"/>
    <x v="0"/>
    <x v="2"/>
    <n v="6"/>
    <n v="14000"/>
  </r>
  <r>
    <s v="O0016"/>
    <x v="15"/>
    <x v="1"/>
    <x v="1"/>
    <x v="3"/>
    <n v="1"/>
    <n v="12000"/>
  </r>
  <r>
    <s v="O0017"/>
    <x v="16"/>
    <x v="3"/>
    <x v="0"/>
    <x v="3"/>
    <n v="2"/>
    <n v="13000"/>
  </r>
  <r>
    <s v="O0018"/>
    <x v="17"/>
    <x v="0"/>
    <x v="0"/>
    <x v="1"/>
    <n v="5"/>
    <n v="12000"/>
  </r>
  <r>
    <s v="O0019"/>
    <x v="18"/>
    <x v="1"/>
    <x v="2"/>
    <x v="2"/>
    <n v="7"/>
    <n v="15000"/>
  </r>
  <r>
    <s v="O0020"/>
    <x v="19"/>
    <x v="0"/>
    <x v="2"/>
    <x v="1"/>
    <n v="2"/>
    <n v="12000"/>
  </r>
  <r>
    <s v="O0021"/>
    <x v="20"/>
    <x v="2"/>
    <x v="1"/>
    <x v="2"/>
    <n v="1"/>
    <n v="15000"/>
  </r>
  <r>
    <s v="O0022"/>
    <x v="21"/>
    <x v="0"/>
    <x v="1"/>
    <x v="3"/>
    <n v="5"/>
    <n v="15000"/>
  </r>
  <r>
    <s v="O0023"/>
    <x v="22"/>
    <x v="1"/>
    <x v="1"/>
    <x v="1"/>
    <n v="3"/>
    <n v="10000"/>
  </r>
  <r>
    <s v="O0024"/>
    <x v="23"/>
    <x v="3"/>
    <x v="2"/>
    <x v="0"/>
    <n v="2"/>
    <n v="12000"/>
  </r>
  <r>
    <s v="O0025"/>
    <x v="24"/>
    <x v="3"/>
    <x v="1"/>
    <x v="2"/>
    <n v="6"/>
    <n v="13000"/>
  </r>
  <r>
    <s v="O0026"/>
    <x v="25"/>
    <x v="1"/>
    <x v="1"/>
    <x v="1"/>
    <n v="2"/>
    <n v="14000"/>
  </r>
  <r>
    <s v="O0027"/>
    <x v="26"/>
    <x v="2"/>
    <x v="0"/>
    <x v="3"/>
    <n v="4"/>
    <n v="11000"/>
  </r>
  <r>
    <s v="O0028"/>
    <x v="27"/>
    <x v="1"/>
    <x v="0"/>
    <x v="0"/>
    <n v="1"/>
    <n v="14000"/>
  </r>
  <r>
    <s v="O0029"/>
    <x v="28"/>
    <x v="2"/>
    <x v="1"/>
    <x v="0"/>
    <n v="4"/>
    <n v="12000"/>
  </r>
  <r>
    <s v="O0030"/>
    <x v="29"/>
    <x v="0"/>
    <x v="1"/>
    <x v="2"/>
    <n v="1"/>
    <n v="15000"/>
  </r>
  <r>
    <s v="O0031"/>
    <x v="30"/>
    <x v="1"/>
    <x v="0"/>
    <x v="1"/>
    <n v="1"/>
    <n v="13000"/>
  </r>
  <r>
    <s v="O0032"/>
    <x v="31"/>
    <x v="2"/>
    <x v="2"/>
    <x v="2"/>
    <n v="4"/>
    <n v="15000"/>
  </r>
  <r>
    <s v="O0033"/>
    <x v="32"/>
    <x v="3"/>
    <x v="0"/>
    <x v="1"/>
    <n v="7"/>
    <n v="12000"/>
  </r>
  <r>
    <s v="O0034"/>
    <x v="33"/>
    <x v="3"/>
    <x v="2"/>
    <x v="3"/>
    <n v="4"/>
    <n v="14000"/>
  </r>
  <r>
    <s v="O0035"/>
    <x v="34"/>
    <x v="2"/>
    <x v="1"/>
    <x v="1"/>
    <n v="5"/>
    <n v="10000"/>
  </r>
  <r>
    <s v="O0036"/>
    <x v="35"/>
    <x v="1"/>
    <x v="0"/>
    <x v="0"/>
    <n v="6"/>
    <n v="14000"/>
  </r>
  <r>
    <s v="O0037"/>
    <x v="36"/>
    <x v="0"/>
    <x v="1"/>
    <x v="0"/>
    <n v="7"/>
    <n v="15000"/>
  </r>
  <r>
    <s v="O0038"/>
    <x v="37"/>
    <x v="3"/>
    <x v="2"/>
    <x v="2"/>
    <n v="2"/>
    <n v="11000"/>
  </r>
  <r>
    <s v="O0039"/>
    <x v="38"/>
    <x v="0"/>
    <x v="0"/>
    <x v="1"/>
    <n v="4"/>
    <n v="11000"/>
  </r>
  <r>
    <s v="O0040"/>
    <x v="39"/>
    <x v="0"/>
    <x v="1"/>
    <x v="0"/>
    <n v="6"/>
    <n v="15000"/>
  </r>
  <r>
    <s v="O0041"/>
    <x v="40"/>
    <x v="2"/>
    <x v="2"/>
    <x v="3"/>
    <n v="1"/>
    <n v="10000"/>
  </r>
  <r>
    <s v="O0042"/>
    <x v="41"/>
    <x v="3"/>
    <x v="0"/>
    <x v="3"/>
    <n v="3"/>
    <n v="12000"/>
  </r>
  <r>
    <s v="O0043"/>
    <x v="42"/>
    <x v="2"/>
    <x v="2"/>
    <x v="2"/>
    <n v="6"/>
    <n v="11000"/>
  </r>
  <r>
    <s v="O0044"/>
    <x v="43"/>
    <x v="0"/>
    <x v="2"/>
    <x v="0"/>
    <n v="1"/>
    <n v="14000"/>
  </r>
  <r>
    <s v="O0045"/>
    <x v="44"/>
    <x v="0"/>
    <x v="0"/>
    <x v="3"/>
    <n v="3"/>
    <n v="11000"/>
  </r>
  <r>
    <s v="O0046"/>
    <x v="45"/>
    <x v="0"/>
    <x v="0"/>
    <x v="3"/>
    <n v="3"/>
    <n v="10000"/>
  </r>
  <r>
    <s v="O0047"/>
    <x v="46"/>
    <x v="0"/>
    <x v="2"/>
    <x v="0"/>
    <n v="3"/>
    <n v="13000"/>
  </r>
  <r>
    <s v="O0048"/>
    <x v="47"/>
    <x v="2"/>
    <x v="0"/>
    <x v="3"/>
    <n v="5"/>
    <n v="14000"/>
  </r>
  <r>
    <s v="O0049"/>
    <x v="48"/>
    <x v="1"/>
    <x v="2"/>
    <x v="0"/>
    <n v="1"/>
    <n v="13000"/>
  </r>
  <r>
    <s v="O0050"/>
    <x v="49"/>
    <x v="2"/>
    <x v="1"/>
    <x v="2"/>
    <n v="1"/>
    <n v="15000"/>
  </r>
  <r>
    <s v="O0051"/>
    <x v="50"/>
    <x v="3"/>
    <x v="0"/>
    <x v="0"/>
    <n v="6"/>
    <n v="15000"/>
  </r>
  <r>
    <s v="O0052"/>
    <x v="51"/>
    <x v="2"/>
    <x v="0"/>
    <x v="2"/>
    <n v="4"/>
    <n v="14000"/>
  </r>
  <r>
    <s v="O0053"/>
    <x v="52"/>
    <x v="1"/>
    <x v="2"/>
    <x v="3"/>
    <n v="5"/>
    <n v="11000"/>
  </r>
  <r>
    <s v="O0054"/>
    <x v="53"/>
    <x v="3"/>
    <x v="1"/>
    <x v="0"/>
    <n v="1"/>
    <n v="12000"/>
  </r>
  <r>
    <s v="O0055"/>
    <x v="54"/>
    <x v="1"/>
    <x v="0"/>
    <x v="0"/>
    <n v="7"/>
    <n v="13000"/>
  </r>
  <r>
    <s v="O0056"/>
    <x v="55"/>
    <x v="1"/>
    <x v="0"/>
    <x v="0"/>
    <n v="4"/>
    <n v="14000"/>
  </r>
  <r>
    <s v="O0057"/>
    <x v="56"/>
    <x v="0"/>
    <x v="1"/>
    <x v="0"/>
    <n v="5"/>
    <n v="14000"/>
  </r>
  <r>
    <s v="O0058"/>
    <x v="57"/>
    <x v="0"/>
    <x v="2"/>
    <x v="1"/>
    <n v="4"/>
    <n v="10000"/>
  </r>
  <r>
    <s v="O0059"/>
    <x v="58"/>
    <x v="2"/>
    <x v="0"/>
    <x v="3"/>
    <n v="3"/>
    <n v="12000"/>
  </r>
  <r>
    <s v="O0060"/>
    <x v="59"/>
    <x v="0"/>
    <x v="2"/>
    <x v="0"/>
    <n v="5"/>
    <n v="14000"/>
  </r>
  <r>
    <s v="O0061"/>
    <x v="60"/>
    <x v="3"/>
    <x v="1"/>
    <x v="1"/>
    <n v="3"/>
    <n v="14000"/>
  </r>
  <r>
    <s v="O0062"/>
    <x v="61"/>
    <x v="1"/>
    <x v="1"/>
    <x v="2"/>
    <n v="1"/>
    <n v="15000"/>
  </r>
  <r>
    <s v="O0063"/>
    <x v="62"/>
    <x v="1"/>
    <x v="1"/>
    <x v="3"/>
    <n v="3"/>
    <n v="12000"/>
  </r>
  <r>
    <s v="O0064"/>
    <x v="63"/>
    <x v="3"/>
    <x v="0"/>
    <x v="3"/>
    <n v="6"/>
    <n v="11000"/>
  </r>
  <r>
    <s v="O0065"/>
    <x v="64"/>
    <x v="1"/>
    <x v="1"/>
    <x v="2"/>
    <n v="4"/>
    <n v="15000"/>
  </r>
  <r>
    <s v="O0066"/>
    <x v="65"/>
    <x v="2"/>
    <x v="1"/>
    <x v="0"/>
    <n v="3"/>
    <n v="13000"/>
  </r>
  <r>
    <s v="O0067"/>
    <x v="66"/>
    <x v="3"/>
    <x v="2"/>
    <x v="3"/>
    <n v="6"/>
    <n v="10000"/>
  </r>
  <r>
    <s v="O0068"/>
    <x v="67"/>
    <x v="0"/>
    <x v="0"/>
    <x v="1"/>
    <n v="1"/>
    <n v="11000"/>
  </r>
  <r>
    <s v="O0069"/>
    <x v="68"/>
    <x v="3"/>
    <x v="1"/>
    <x v="3"/>
    <n v="2"/>
    <n v="10000"/>
  </r>
  <r>
    <s v="O0070"/>
    <x v="69"/>
    <x v="3"/>
    <x v="0"/>
    <x v="3"/>
    <n v="6"/>
    <n v="14000"/>
  </r>
  <r>
    <s v="O0071"/>
    <x v="70"/>
    <x v="2"/>
    <x v="2"/>
    <x v="0"/>
    <n v="6"/>
    <n v="11000"/>
  </r>
  <r>
    <s v="O0072"/>
    <x v="71"/>
    <x v="0"/>
    <x v="2"/>
    <x v="1"/>
    <n v="2"/>
    <n v="11000"/>
  </r>
  <r>
    <s v="O0073"/>
    <x v="72"/>
    <x v="1"/>
    <x v="2"/>
    <x v="1"/>
    <n v="1"/>
    <n v="14000"/>
  </r>
  <r>
    <s v="O0074"/>
    <x v="73"/>
    <x v="2"/>
    <x v="2"/>
    <x v="1"/>
    <n v="7"/>
    <n v="10000"/>
  </r>
  <r>
    <s v="O0075"/>
    <x v="74"/>
    <x v="3"/>
    <x v="1"/>
    <x v="3"/>
    <n v="2"/>
    <n v="10000"/>
  </r>
  <r>
    <s v="O0076"/>
    <x v="75"/>
    <x v="2"/>
    <x v="1"/>
    <x v="3"/>
    <n v="5"/>
    <n v="10000"/>
  </r>
  <r>
    <s v="O0077"/>
    <x v="76"/>
    <x v="3"/>
    <x v="2"/>
    <x v="2"/>
    <n v="1"/>
    <n v="15000"/>
  </r>
  <r>
    <s v="O0078"/>
    <x v="77"/>
    <x v="3"/>
    <x v="0"/>
    <x v="0"/>
    <n v="2"/>
    <n v="10000"/>
  </r>
  <r>
    <s v="O0079"/>
    <x v="78"/>
    <x v="2"/>
    <x v="2"/>
    <x v="0"/>
    <n v="6"/>
    <n v="15000"/>
  </r>
  <r>
    <s v="O0080"/>
    <x v="79"/>
    <x v="1"/>
    <x v="2"/>
    <x v="1"/>
    <n v="2"/>
    <n v="14000"/>
  </r>
  <r>
    <s v="O0081"/>
    <x v="80"/>
    <x v="1"/>
    <x v="0"/>
    <x v="3"/>
    <n v="6"/>
    <n v="11000"/>
  </r>
  <r>
    <s v="O0082"/>
    <x v="81"/>
    <x v="3"/>
    <x v="0"/>
    <x v="3"/>
    <n v="3"/>
    <n v="10000"/>
  </r>
  <r>
    <s v="O0083"/>
    <x v="82"/>
    <x v="2"/>
    <x v="0"/>
    <x v="1"/>
    <n v="3"/>
    <n v="13000"/>
  </r>
  <r>
    <s v="O0084"/>
    <x v="83"/>
    <x v="0"/>
    <x v="1"/>
    <x v="3"/>
    <n v="4"/>
    <n v="15000"/>
  </r>
  <r>
    <s v="O0085"/>
    <x v="84"/>
    <x v="3"/>
    <x v="2"/>
    <x v="1"/>
    <n v="4"/>
    <n v="14000"/>
  </r>
  <r>
    <s v="O0086"/>
    <x v="85"/>
    <x v="1"/>
    <x v="0"/>
    <x v="0"/>
    <n v="1"/>
    <n v="12000"/>
  </r>
  <r>
    <s v="O0087"/>
    <x v="86"/>
    <x v="2"/>
    <x v="0"/>
    <x v="0"/>
    <n v="2"/>
    <n v="11000"/>
  </r>
  <r>
    <s v="O0088"/>
    <x v="87"/>
    <x v="2"/>
    <x v="1"/>
    <x v="1"/>
    <n v="4"/>
    <n v="15000"/>
  </r>
  <r>
    <s v="O0089"/>
    <x v="88"/>
    <x v="3"/>
    <x v="1"/>
    <x v="3"/>
    <n v="4"/>
    <n v="13000"/>
  </r>
  <r>
    <s v="O0090"/>
    <x v="89"/>
    <x v="0"/>
    <x v="2"/>
    <x v="3"/>
    <n v="2"/>
    <n v="13000"/>
  </r>
  <r>
    <s v="O0091"/>
    <x v="90"/>
    <x v="3"/>
    <x v="2"/>
    <x v="2"/>
    <n v="5"/>
    <n v="12000"/>
  </r>
  <r>
    <s v="O0092"/>
    <x v="91"/>
    <x v="2"/>
    <x v="1"/>
    <x v="1"/>
    <n v="1"/>
    <n v="13000"/>
  </r>
  <r>
    <s v="O0093"/>
    <x v="92"/>
    <x v="0"/>
    <x v="2"/>
    <x v="1"/>
    <n v="6"/>
    <n v="14000"/>
  </r>
  <r>
    <s v="O0094"/>
    <x v="93"/>
    <x v="2"/>
    <x v="2"/>
    <x v="0"/>
    <n v="2"/>
    <n v="13000"/>
  </r>
  <r>
    <s v="O0095"/>
    <x v="94"/>
    <x v="1"/>
    <x v="2"/>
    <x v="1"/>
    <n v="2"/>
    <n v="13000"/>
  </r>
  <r>
    <s v="O0096"/>
    <x v="95"/>
    <x v="1"/>
    <x v="1"/>
    <x v="3"/>
    <n v="4"/>
    <n v="13000"/>
  </r>
  <r>
    <s v="O0097"/>
    <x v="96"/>
    <x v="1"/>
    <x v="2"/>
    <x v="3"/>
    <n v="7"/>
    <n v="15000"/>
  </r>
  <r>
    <s v="O0098"/>
    <x v="97"/>
    <x v="2"/>
    <x v="2"/>
    <x v="1"/>
    <n v="7"/>
    <n v="12000"/>
  </r>
  <r>
    <s v="O0099"/>
    <x v="98"/>
    <x v="1"/>
    <x v="0"/>
    <x v="0"/>
    <n v="3"/>
    <n v="10000"/>
  </r>
  <r>
    <s v="O0100"/>
    <x v="99"/>
    <x v="2"/>
    <x v="2"/>
    <x v="2"/>
    <n v="1"/>
    <n v="1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D279A-C414-44B3-9D99-5F82A815A5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18" firstHeaderRow="1" firstDataRow="1" firstDataCol="1"/>
  <pivotFields count="8">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measureFilter="1"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5">
        <item x="2"/>
        <item x="1"/>
        <item x="3"/>
        <item x="0"/>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v="2"/>
    </i>
    <i>
      <x v="1"/>
    </i>
    <i>
      <x v="3"/>
    </i>
    <i>
      <x/>
    </i>
    <i t="grand">
      <x/>
    </i>
  </rowItems>
  <colItems count="1">
    <i/>
  </colItems>
  <dataFields count="1">
    <dataField name="Sum of Sales Amount " fld="6" baseField="0" baseItem="0"/>
  </dataField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C3594-BA42-4E08-8D40-E6024AA90D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9" firstHeaderRow="1" firstDataRow="1" firstDataCol="1"/>
  <pivotFields count="8">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4">
        <item x="0"/>
        <item x="2"/>
        <item x="1"/>
        <item t="default"/>
      </items>
    </pivotField>
    <pivotField showAll="0">
      <items count="5">
        <item x="2"/>
        <item x="1"/>
        <item x="3"/>
        <item x="0"/>
        <item t="default"/>
      </items>
    </pivotField>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7"/>
  </rowFields>
  <rowItems count="5">
    <i>
      <x v="2"/>
    </i>
    <i>
      <x v="3"/>
    </i>
    <i>
      <x v="4"/>
    </i>
    <i>
      <x v="5"/>
    </i>
    <i t="grand">
      <x/>
    </i>
  </rowItems>
  <colItems count="1">
    <i/>
  </colItems>
  <dataFields count="1">
    <dataField name="Sum of Sales Amount " fld="6"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D901B-C945-4658-96D5-4D3C29E928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F8" firstHeaderRow="1" firstDataRow="1" firstDataCol="1"/>
  <pivotFields count="8">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4">
        <item x="0"/>
        <item x="2"/>
        <item x="1"/>
        <item t="default"/>
      </items>
    </pivotField>
    <pivotField showAll="0">
      <items count="5">
        <item x="2"/>
        <item x="1"/>
        <item x="3"/>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Amount " fld="6" baseField="0" baseItem="0"/>
  </dataFields>
  <chartFormats count="5">
    <chartFormat chart="0" format="0"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3" count="1" selected="0">
            <x v="0"/>
          </reference>
        </references>
      </pivotArea>
    </chartFormat>
    <chartFormat chart="6" format="15">
      <pivotArea type="data" outline="0" fieldPosition="0">
        <references count="2">
          <reference field="4294967294" count="1" selected="0">
            <x v="0"/>
          </reference>
          <reference field="3" count="1" selected="0">
            <x v="1"/>
          </reference>
        </references>
      </pivotArea>
    </chartFormat>
    <chartFormat chart="6"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129A9E-2F3B-4734-A5A7-0D59D1E96E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9" firstHeaderRow="1" firstDataRow="1" firstDataCol="1"/>
  <pivotFields count="8">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4">
        <item x="0"/>
        <item x="2"/>
        <item x="1"/>
        <item t="default"/>
      </items>
    </pivotField>
    <pivotField axis="axisRow" showAll="0">
      <items count="5">
        <item x="2"/>
        <item x="1"/>
        <item x="3"/>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Amount "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C9BD95-F4EF-49BD-A997-BA020A041074}" sourceName="Category">
  <pivotTables>
    <pivotTable tabId="2" name="PivotTable3"/>
    <pivotTable tabId="2" name="PivotTable4"/>
    <pivotTable tabId="2" name="PivotTable5"/>
    <pivotTable tabId="2" name="PivotTable6"/>
  </pivotTables>
  <data>
    <tabular pivotCacheId="79773829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673088-56B0-4E7B-BD7E-A3CC3E639AED}" sourceName="Region">
  <pivotTables>
    <pivotTable tabId="2" name="PivotTable3"/>
    <pivotTable tabId="2" name="PivotTable4"/>
    <pivotTable tabId="2" name="PivotTable5"/>
    <pivotTable tabId="2" name="PivotTable6"/>
  </pivotTables>
  <data>
    <tabular pivotCacheId="79773829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6B6905C-60C3-4318-93BD-B9DC7DE7CCED}" cache="Slicer_Category" caption="Category" rowHeight="241300"/>
  <slicer name="Region" xr10:uid="{37062054-19D3-4D81-B16D-553CE4CF53D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1079E-FB3C-48F4-B164-8B903E381449}" name="Table1" displayName="Table1" ref="A1:G101" totalsRowShown="0" headerRowDxfId="8" dataDxfId="7">
  <autoFilter ref="A1:G101" xr:uid="{0181079E-FB3C-48F4-B164-8B903E381449}"/>
  <tableColumns count="7">
    <tableColumn id="1" xr3:uid="{CFE1A924-72A7-43D3-827F-0B7A4395172C}" name="Order ID " dataDxfId="6"/>
    <tableColumn id="2" xr3:uid="{10954484-4286-4D2F-9484-625AA6DA0EE6}" name="Date " dataDxfId="5"/>
    <tableColumn id="3" xr3:uid="{EF2C90C2-66BE-4DF0-B03F-AC02BB7C8256}" name="Product" dataDxfId="4"/>
    <tableColumn id="4" xr3:uid="{3E48309E-2932-41A2-ACC5-C639DA647756}" name="Category" dataDxfId="3">
      <calculatedColumnFormula>CHOOSE(RANDBETWEEN(1,3),"Electronics","Vehicle","Fashion")</calculatedColumnFormula>
    </tableColumn>
    <tableColumn id="5" xr3:uid="{A2A68119-F459-4AC9-8450-C93EEEF02F2E}" name="Region" dataDxfId="2">
      <calculatedColumnFormula>CHOOSE(RANDBETWEEN(1,4),"North","South","West","East")</calculatedColumnFormula>
    </tableColumn>
    <tableColumn id="6" xr3:uid="{ED30EBDB-8AF6-4A09-AF31-CF6B996D0BD1}" name="Quantity" dataDxfId="1"/>
    <tableColumn id="7" xr3:uid="{ECA589BE-65FF-4A42-BD60-EECFE1FAD55B}" name="Sales Amoun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1728-CB15-4210-ACA5-5ED9DFC4FE77}">
  <dimension ref="A1:J103"/>
  <sheetViews>
    <sheetView topLeftCell="E1" workbookViewId="0">
      <selection activeCell="I6" sqref="I6"/>
    </sheetView>
  </sheetViews>
  <sheetFormatPr defaultColWidth="21.1328125" defaultRowHeight="17.649999999999999" x14ac:dyDescent="0.5"/>
  <cols>
    <col min="1" max="16384" width="21.1328125" style="1"/>
  </cols>
  <sheetData>
    <row r="1" spans="1:10" x14ac:dyDescent="0.5">
      <c r="A1" s="1" t="s">
        <v>0</v>
      </c>
      <c r="B1" s="1" t="s">
        <v>1</v>
      </c>
      <c r="C1" s="1" t="s">
        <v>2</v>
      </c>
      <c r="D1" s="1" t="s">
        <v>3</v>
      </c>
      <c r="E1" s="1" t="s">
        <v>4</v>
      </c>
      <c r="F1" s="1" t="s">
        <v>5</v>
      </c>
      <c r="G1" s="1" t="s">
        <v>6</v>
      </c>
    </row>
    <row r="2" spans="1:10" x14ac:dyDescent="0.5">
      <c r="A2" s="2" t="s">
        <v>7</v>
      </c>
      <c r="B2" s="3">
        <v>45323</v>
      </c>
      <c r="C2" s="2" t="s">
        <v>107</v>
      </c>
      <c r="D2" s="2" t="str">
        <f ca="1">CHOOSE(RANDBETWEEN(1,3),"Electronics","Vehicle","Fashion")</f>
        <v>Electronics</v>
      </c>
      <c r="E2" s="2" t="str">
        <f ca="1">CHOOSE(RANDBETWEEN(1,4),"North","South","West","East")</f>
        <v>South</v>
      </c>
      <c r="F2" s="2">
        <v>2</v>
      </c>
      <c r="G2" s="2">
        <v>13000</v>
      </c>
      <c r="I2" s="1">
        <f>SUM(Table1[[Sales Amount ]])</f>
        <v>1263000</v>
      </c>
    </row>
    <row r="3" spans="1:10" x14ac:dyDescent="0.5">
      <c r="A3" s="2" t="s">
        <v>8</v>
      </c>
      <c r="B3" s="3">
        <v>45324</v>
      </c>
      <c r="C3" s="2" t="s">
        <v>123</v>
      </c>
      <c r="D3" s="2" t="str">
        <f t="shared" ref="D3:D66" ca="1" si="0">CHOOSE(RANDBETWEEN(1,3),"Electronics","Vehicle","Fashion")</f>
        <v>Fashion</v>
      </c>
      <c r="E3" s="2" t="str">
        <f t="shared" ref="E3:E66" ca="1" si="1">CHOOSE(RANDBETWEEN(1,4),"North","South","West","East")</f>
        <v>East</v>
      </c>
      <c r="F3" s="2">
        <v>6</v>
      </c>
      <c r="G3" s="2">
        <v>11000</v>
      </c>
      <c r="H3"/>
      <c r="I3">
        <f>COUNTA(A:A)-1</f>
        <v>100</v>
      </c>
      <c r="J3"/>
    </row>
    <row r="4" spans="1:10" x14ac:dyDescent="0.5">
      <c r="A4" s="2" t="s">
        <v>9</v>
      </c>
      <c r="B4" s="3">
        <v>45325</v>
      </c>
      <c r="C4" s="2" t="s">
        <v>122</v>
      </c>
      <c r="D4" s="2" t="str">
        <f t="shared" ca="1" si="0"/>
        <v>Vehicle</v>
      </c>
      <c r="E4" s="2" t="str">
        <f t="shared" ca="1" si="1"/>
        <v>South</v>
      </c>
      <c r="F4" s="2">
        <v>7</v>
      </c>
      <c r="G4" s="2">
        <v>13000</v>
      </c>
      <c r="H4"/>
      <c r="I4">
        <f>SUM(F:F)</f>
        <v>370</v>
      </c>
      <c r="J4"/>
    </row>
    <row r="5" spans="1:10" x14ac:dyDescent="0.5">
      <c r="A5" s="2" t="s">
        <v>10</v>
      </c>
      <c r="B5" s="3">
        <v>45326</v>
      </c>
      <c r="C5" s="2" t="s">
        <v>123</v>
      </c>
      <c r="D5" s="2" t="str">
        <f t="shared" ca="1" si="0"/>
        <v>Fashion</v>
      </c>
      <c r="E5" s="2" t="str">
        <f t="shared" ca="1" si="1"/>
        <v>South</v>
      </c>
      <c r="F5" s="2">
        <v>5</v>
      </c>
      <c r="G5" s="2">
        <v>10000</v>
      </c>
      <c r="H5"/>
      <c r="I5">
        <f>I2/I3</f>
        <v>12630</v>
      </c>
      <c r="J5"/>
    </row>
    <row r="6" spans="1:10" x14ac:dyDescent="0.5">
      <c r="A6" s="2" t="s">
        <v>11</v>
      </c>
      <c r="B6" s="3">
        <v>45327</v>
      </c>
      <c r="C6" s="2" t="s">
        <v>122</v>
      </c>
      <c r="D6" s="2" t="str">
        <f t="shared" ca="1" si="0"/>
        <v>Vehicle</v>
      </c>
      <c r="E6" s="2" t="str">
        <f t="shared" ca="1" si="1"/>
        <v>West</v>
      </c>
      <c r="F6" s="2">
        <v>3</v>
      </c>
      <c r="G6" s="2">
        <v>12000</v>
      </c>
      <c r="H6"/>
      <c r="I6"/>
      <c r="J6"/>
    </row>
    <row r="7" spans="1:10" x14ac:dyDescent="0.5">
      <c r="A7" s="2" t="s">
        <v>12</v>
      </c>
      <c r="B7" s="3">
        <v>45328</v>
      </c>
      <c r="C7" s="2" t="s">
        <v>122</v>
      </c>
      <c r="D7" s="2" t="str">
        <f t="shared" ca="1" si="0"/>
        <v>Vehicle</v>
      </c>
      <c r="E7" s="2" t="str">
        <f t="shared" ca="1" si="1"/>
        <v>East</v>
      </c>
      <c r="F7" s="2">
        <v>5</v>
      </c>
      <c r="G7" s="2">
        <v>15000</v>
      </c>
      <c r="H7"/>
      <c r="I7"/>
      <c r="J7"/>
    </row>
    <row r="8" spans="1:10" x14ac:dyDescent="0.5">
      <c r="A8" s="2" t="s">
        <v>13</v>
      </c>
      <c r="B8" s="3">
        <v>45329</v>
      </c>
      <c r="C8" s="2" t="s">
        <v>124</v>
      </c>
      <c r="D8" s="2" t="str">
        <f t="shared" ca="1" si="0"/>
        <v>Vehicle</v>
      </c>
      <c r="E8" s="2" t="str">
        <f t="shared" ca="1" si="1"/>
        <v>West</v>
      </c>
      <c r="F8" s="2">
        <v>7</v>
      </c>
      <c r="G8" s="2">
        <v>11000</v>
      </c>
      <c r="H8"/>
      <c r="I8"/>
      <c r="J8"/>
    </row>
    <row r="9" spans="1:10" x14ac:dyDescent="0.5">
      <c r="A9" s="2" t="s">
        <v>14</v>
      </c>
      <c r="B9" s="3">
        <v>45330</v>
      </c>
      <c r="C9" s="2" t="s">
        <v>124</v>
      </c>
      <c r="D9" s="2" t="str">
        <f t="shared" ca="1" si="0"/>
        <v>Electronics</v>
      </c>
      <c r="E9" s="2" t="str">
        <f t="shared" ca="1" si="1"/>
        <v>South</v>
      </c>
      <c r="F9" s="2">
        <v>2</v>
      </c>
      <c r="G9" s="2">
        <v>10000</v>
      </c>
      <c r="H9"/>
      <c r="I9"/>
      <c r="J9"/>
    </row>
    <row r="10" spans="1:10" x14ac:dyDescent="0.5">
      <c r="A10" s="2" t="s">
        <v>15</v>
      </c>
      <c r="B10" s="3">
        <v>45331</v>
      </c>
      <c r="C10" s="2" t="s">
        <v>122</v>
      </c>
      <c r="D10" s="2" t="str">
        <f t="shared" ca="1" si="0"/>
        <v>Fashion</v>
      </c>
      <c r="E10" s="2" t="str">
        <f t="shared" ca="1" si="1"/>
        <v>East</v>
      </c>
      <c r="F10" s="2">
        <v>1</v>
      </c>
      <c r="G10" s="2">
        <v>12000</v>
      </c>
      <c r="H10"/>
      <c r="I10"/>
      <c r="J10"/>
    </row>
    <row r="11" spans="1:10" x14ac:dyDescent="0.5">
      <c r="A11" s="2" t="s">
        <v>16</v>
      </c>
      <c r="B11" s="3">
        <v>45332</v>
      </c>
      <c r="C11" s="2" t="s">
        <v>123</v>
      </c>
      <c r="D11" s="2" t="str">
        <f t="shared" ca="1" si="0"/>
        <v>Vehicle</v>
      </c>
      <c r="E11" s="2" t="str">
        <f t="shared" ca="1" si="1"/>
        <v>East</v>
      </c>
      <c r="F11" s="2">
        <v>2</v>
      </c>
      <c r="G11" s="2">
        <v>12000</v>
      </c>
      <c r="H11"/>
      <c r="I11"/>
      <c r="J11"/>
    </row>
    <row r="12" spans="1:10" x14ac:dyDescent="0.5">
      <c r="A12" s="2" t="s">
        <v>17</v>
      </c>
      <c r="B12" s="3">
        <v>45333</v>
      </c>
      <c r="C12" s="2" t="s">
        <v>107</v>
      </c>
      <c r="D12" s="2" t="str">
        <f t="shared" ca="1" si="0"/>
        <v>Electronics</v>
      </c>
      <c r="E12" s="2" t="str">
        <f t="shared" ca="1" si="1"/>
        <v>South</v>
      </c>
      <c r="F12" s="2">
        <v>3</v>
      </c>
      <c r="G12" s="2">
        <v>14000</v>
      </c>
      <c r="H12"/>
      <c r="I12"/>
      <c r="J12"/>
    </row>
    <row r="13" spans="1:10" x14ac:dyDescent="0.5">
      <c r="A13" s="2" t="s">
        <v>18</v>
      </c>
      <c r="B13" s="3">
        <v>45334</v>
      </c>
      <c r="C13" s="2" t="s">
        <v>107</v>
      </c>
      <c r="D13" s="2" t="str">
        <f t="shared" ca="1" si="0"/>
        <v>Vehicle</v>
      </c>
      <c r="E13" s="2" t="str">
        <f t="shared" ca="1" si="1"/>
        <v>North</v>
      </c>
      <c r="F13" s="2">
        <v>5</v>
      </c>
      <c r="G13" s="2">
        <v>10000</v>
      </c>
      <c r="H13"/>
      <c r="I13"/>
      <c r="J13"/>
    </row>
    <row r="14" spans="1:10" x14ac:dyDescent="0.5">
      <c r="A14" s="2" t="s">
        <v>19</v>
      </c>
      <c r="B14" s="3">
        <v>45335</v>
      </c>
      <c r="C14" s="2" t="s">
        <v>124</v>
      </c>
      <c r="D14" s="2" t="str">
        <f t="shared" ca="1" si="0"/>
        <v>Electronics</v>
      </c>
      <c r="E14" s="2" t="str">
        <f t="shared" ca="1" si="1"/>
        <v>East</v>
      </c>
      <c r="F14" s="2">
        <v>7</v>
      </c>
      <c r="G14" s="2">
        <v>15000</v>
      </c>
      <c r="H14"/>
      <c r="I14"/>
      <c r="J14"/>
    </row>
    <row r="15" spans="1:10" x14ac:dyDescent="0.5">
      <c r="A15" s="2" t="s">
        <v>20</v>
      </c>
      <c r="B15" s="3">
        <v>45336</v>
      </c>
      <c r="C15" s="2" t="s">
        <v>123</v>
      </c>
      <c r="D15" s="2" t="str">
        <f t="shared" ca="1" si="0"/>
        <v>Fashion</v>
      </c>
      <c r="E15" s="2" t="str">
        <f t="shared" ca="1" si="1"/>
        <v>West</v>
      </c>
      <c r="F15" s="2">
        <v>6</v>
      </c>
      <c r="G15" s="2">
        <v>13000</v>
      </c>
      <c r="H15"/>
      <c r="I15"/>
      <c r="J15"/>
    </row>
    <row r="16" spans="1:10" x14ac:dyDescent="0.5">
      <c r="A16" s="2" t="s">
        <v>21</v>
      </c>
      <c r="B16" s="3">
        <v>45337</v>
      </c>
      <c r="C16" s="2" t="s">
        <v>123</v>
      </c>
      <c r="D16" s="2" t="str">
        <f t="shared" ca="1" si="0"/>
        <v>Fashion</v>
      </c>
      <c r="E16" s="2" t="str">
        <f t="shared" ca="1" si="1"/>
        <v>West</v>
      </c>
      <c r="F16" s="2">
        <v>6</v>
      </c>
      <c r="G16" s="2">
        <v>14000</v>
      </c>
      <c r="H16"/>
      <c r="I16"/>
      <c r="J16"/>
    </row>
    <row r="17" spans="1:10" x14ac:dyDescent="0.5">
      <c r="A17" s="2" t="s">
        <v>22</v>
      </c>
      <c r="B17" s="3">
        <v>45338</v>
      </c>
      <c r="C17" s="2" t="s">
        <v>123</v>
      </c>
      <c r="D17" s="2" t="str">
        <f t="shared" ca="1" si="0"/>
        <v>Fashion</v>
      </c>
      <c r="E17" s="2" t="str">
        <f t="shared" ca="1" si="1"/>
        <v>West</v>
      </c>
      <c r="F17" s="2">
        <v>1</v>
      </c>
      <c r="G17" s="2">
        <v>12000</v>
      </c>
      <c r="H17"/>
      <c r="I17"/>
      <c r="J17"/>
    </row>
    <row r="18" spans="1:10" x14ac:dyDescent="0.5">
      <c r="A18" s="2" t="s">
        <v>23</v>
      </c>
      <c r="B18" s="3">
        <v>45339</v>
      </c>
      <c r="C18" s="2" t="s">
        <v>124</v>
      </c>
      <c r="D18" s="2" t="str">
        <f t="shared" ca="1" si="0"/>
        <v>Electronics</v>
      </c>
      <c r="E18" s="2" t="str">
        <f t="shared" ca="1" si="1"/>
        <v>West</v>
      </c>
      <c r="F18" s="2">
        <v>2</v>
      </c>
      <c r="G18" s="2">
        <v>13000</v>
      </c>
      <c r="H18"/>
      <c r="I18"/>
      <c r="J18"/>
    </row>
    <row r="19" spans="1:10" x14ac:dyDescent="0.5">
      <c r="A19" s="2" t="s">
        <v>24</v>
      </c>
      <c r="B19" s="3">
        <v>45340</v>
      </c>
      <c r="C19" s="2" t="s">
        <v>107</v>
      </c>
      <c r="D19" s="2" t="str">
        <f t="shared" ca="1" si="0"/>
        <v>Electronics</v>
      </c>
      <c r="E19" s="2" t="str">
        <f t="shared" ca="1" si="1"/>
        <v>North</v>
      </c>
      <c r="F19" s="2">
        <v>5</v>
      </c>
      <c r="G19" s="2">
        <v>12000</v>
      </c>
      <c r="H19"/>
      <c r="I19"/>
      <c r="J19"/>
    </row>
    <row r="20" spans="1:10" x14ac:dyDescent="0.5">
      <c r="A20" s="2" t="s">
        <v>25</v>
      </c>
      <c r="B20" s="3">
        <v>45341</v>
      </c>
      <c r="C20" s="2" t="s">
        <v>123</v>
      </c>
      <c r="D20" s="2" t="str">
        <f t="shared" ca="1" si="0"/>
        <v>Electronics</v>
      </c>
      <c r="E20" s="2" t="str">
        <f t="shared" ca="1" si="1"/>
        <v>West</v>
      </c>
      <c r="F20" s="2">
        <v>7</v>
      </c>
      <c r="G20" s="2">
        <v>15000</v>
      </c>
      <c r="H20"/>
      <c r="I20"/>
      <c r="J20"/>
    </row>
    <row r="21" spans="1:10" x14ac:dyDescent="0.5">
      <c r="A21" s="2" t="s">
        <v>26</v>
      </c>
      <c r="B21" s="3">
        <v>45342</v>
      </c>
      <c r="C21" s="2" t="s">
        <v>107</v>
      </c>
      <c r="D21" s="2" t="str">
        <f t="shared" ca="1" si="0"/>
        <v>Fashion</v>
      </c>
      <c r="E21" s="2" t="str">
        <f t="shared" ca="1" si="1"/>
        <v>North</v>
      </c>
      <c r="F21" s="2">
        <v>2</v>
      </c>
      <c r="G21" s="2">
        <v>12000</v>
      </c>
    </row>
    <row r="22" spans="1:10" x14ac:dyDescent="0.5">
      <c r="A22" s="2" t="s">
        <v>27</v>
      </c>
      <c r="B22" s="3">
        <v>45343</v>
      </c>
      <c r="C22" s="2" t="s">
        <v>122</v>
      </c>
      <c r="D22" s="2" t="str">
        <f t="shared" ca="1" si="0"/>
        <v>Fashion</v>
      </c>
      <c r="E22" s="2" t="str">
        <f t="shared" ca="1" si="1"/>
        <v>East</v>
      </c>
      <c r="F22" s="2">
        <v>1</v>
      </c>
      <c r="G22" s="2">
        <v>15000</v>
      </c>
    </row>
    <row r="23" spans="1:10" x14ac:dyDescent="0.5">
      <c r="A23" s="2" t="s">
        <v>28</v>
      </c>
      <c r="B23" s="3">
        <v>45344</v>
      </c>
      <c r="C23" s="2" t="s">
        <v>107</v>
      </c>
      <c r="D23" s="2" t="str">
        <f t="shared" ca="1" si="0"/>
        <v>Fashion</v>
      </c>
      <c r="E23" s="2" t="str">
        <f t="shared" ca="1" si="1"/>
        <v>West</v>
      </c>
      <c r="F23" s="2">
        <v>5</v>
      </c>
      <c r="G23" s="2">
        <v>15000</v>
      </c>
    </row>
    <row r="24" spans="1:10" x14ac:dyDescent="0.5">
      <c r="A24" s="2" t="s">
        <v>29</v>
      </c>
      <c r="B24" s="3">
        <v>45345</v>
      </c>
      <c r="C24" s="2" t="s">
        <v>123</v>
      </c>
      <c r="D24" s="2" t="str">
        <f t="shared" ca="1" si="0"/>
        <v>Electronics</v>
      </c>
      <c r="E24" s="2" t="str">
        <f t="shared" ca="1" si="1"/>
        <v>North</v>
      </c>
      <c r="F24" s="2">
        <v>3</v>
      </c>
      <c r="G24" s="2">
        <v>10000</v>
      </c>
    </row>
    <row r="25" spans="1:10" x14ac:dyDescent="0.5">
      <c r="A25" s="2" t="s">
        <v>30</v>
      </c>
      <c r="B25" s="3">
        <v>45346</v>
      </c>
      <c r="C25" s="2" t="s">
        <v>124</v>
      </c>
      <c r="D25" s="2" t="str">
        <f t="shared" ca="1" si="0"/>
        <v>Fashion</v>
      </c>
      <c r="E25" s="2" t="str">
        <f t="shared" ca="1" si="1"/>
        <v>North</v>
      </c>
      <c r="F25" s="2">
        <v>2</v>
      </c>
      <c r="G25" s="2">
        <v>12000</v>
      </c>
    </row>
    <row r="26" spans="1:10" x14ac:dyDescent="0.5">
      <c r="A26" s="2" t="s">
        <v>31</v>
      </c>
      <c r="B26" s="3">
        <v>45347</v>
      </c>
      <c r="C26" s="2" t="s">
        <v>124</v>
      </c>
      <c r="D26" s="2" t="str">
        <f t="shared" ca="1" si="0"/>
        <v>Vehicle</v>
      </c>
      <c r="E26" s="2" t="str">
        <f t="shared" ca="1" si="1"/>
        <v>South</v>
      </c>
      <c r="F26" s="2">
        <v>6</v>
      </c>
      <c r="G26" s="2">
        <v>13000</v>
      </c>
    </row>
    <row r="27" spans="1:10" x14ac:dyDescent="0.5">
      <c r="A27" s="2" t="s">
        <v>32</v>
      </c>
      <c r="B27" s="3">
        <v>45348</v>
      </c>
      <c r="C27" s="2" t="s">
        <v>123</v>
      </c>
      <c r="D27" s="2" t="str">
        <f t="shared" ca="1" si="0"/>
        <v>Fashion</v>
      </c>
      <c r="E27" s="2" t="str">
        <f t="shared" ca="1" si="1"/>
        <v>North</v>
      </c>
      <c r="F27" s="2">
        <v>2</v>
      </c>
      <c r="G27" s="2">
        <v>14000</v>
      </c>
    </row>
    <row r="28" spans="1:10" x14ac:dyDescent="0.5">
      <c r="A28" s="2" t="s">
        <v>33</v>
      </c>
      <c r="B28" s="3">
        <v>45349</v>
      </c>
      <c r="C28" s="2" t="s">
        <v>122</v>
      </c>
      <c r="D28" s="2" t="str">
        <f t="shared" ca="1" si="0"/>
        <v>Fashion</v>
      </c>
      <c r="E28" s="2" t="str">
        <f t="shared" ca="1" si="1"/>
        <v>East</v>
      </c>
      <c r="F28" s="2">
        <v>4</v>
      </c>
      <c r="G28" s="2">
        <v>11000</v>
      </c>
    </row>
    <row r="29" spans="1:10" x14ac:dyDescent="0.5">
      <c r="A29" s="2" t="s">
        <v>34</v>
      </c>
      <c r="B29" s="3">
        <v>45350</v>
      </c>
      <c r="C29" s="2" t="s">
        <v>123</v>
      </c>
      <c r="D29" s="2" t="str">
        <f t="shared" ca="1" si="0"/>
        <v>Vehicle</v>
      </c>
      <c r="E29" s="2" t="str">
        <f t="shared" ca="1" si="1"/>
        <v>North</v>
      </c>
      <c r="F29" s="2">
        <v>1</v>
      </c>
      <c r="G29" s="2">
        <v>14000</v>
      </c>
    </row>
    <row r="30" spans="1:10" x14ac:dyDescent="0.5">
      <c r="A30" s="2" t="s">
        <v>35</v>
      </c>
      <c r="B30" s="3">
        <v>45351</v>
      </c>
      <c r="C30" s="2" t="s">
        <v>122</v>
      </c>
      <c r="D30" s="2" t="str">
        <f t="shared" ca="1" si="0"/>
        <v>Fashion</v>
      </c>
      <c r="E30" s="2" t="str">
        <f t="shared" ca="1" si="1"/>
        <v>East</v>
      </c>
      <c r="F30" s="2">
        <v>4</v>
      </c>
      <c r="G30" s="2">
        <v>12000</v>
      </c>
    </row>
    <row r="31" spans="1:10" x14ac:dyDescent="0.5">
      <c r="A31" s="2" t="s">
        <v>36</v>
      </c>
      <c r="B31" s="3">
        <v>45352</v>
      </c>
      <c r="C31" s="2" t="s">
        <v>107</v>
      </c>
      <c r="D31" s="2" t="str">
        <f t="shared" ca="1" si="0"/>
        <v>Fashion</v>
      </c>
      <c r="E31" s="2" t="str">
        <f t="shared" ca="1" si="1"/>
        <v>East</v>
      </c>
      <c r="F31" s="2">
        <v>1</v>
      </c>
      <c r="G31" s="2">
        <v>15000</v>
      </c>
    </row>
    <row r="32" spans="1:10" x14ac:dyDescent="0.5">
      <c r="A32" s="2" t="s">
        <v>37</v>
      </c>
      <c r="B32" s="3">
        <v>45353</v>
      </c>
      <c r="C32" s="2" t="s">
        <v>123</v>
      </c>
      <c r="D32" s="2" t="str">
        <f t="shared" ca="1" si="0"/>
        <v>Electronics</v>
      </c>
      <c r="E32" s="2" t="str">
        <f t="shared" ca="1" si="1"/>
        <v>South</v>
      </c>
      <c r="F32" s="2">
        <v>1</v>
      </c>
      <c r="G32" s="2">
        <v>13000</v>
      </c>
    </row>
    <row r="33" spans="1:7" x14ac:dyDescent="0.5">
      <c r="A33" s="2" t="s">
        <v>38</v>
      </c>
      <c r="B33" s="3">
        <v>45354</v>
      </c>
      <c r="C33" s="2" t="s">
        <v>122</v>
      </c>
      <c r="D33" s="2" t="str">
        <f t="shared" ca="1" si="0"/>
        <v>Fashion</v>
      </c>
      <c r="E33" s="2" t="str">
        <f t="shared" ca="1" si="1"/>
        <v>South</v>
      </c>
      <c r="F33" s="2">
        <v>4</v>
      </c>
      <c r="G33" s="2">
        <v>15000</v>
      </c>
    </row>
    <row r="34" spans="1:7" x14ac:dyDescent="0.5">
      <c r="A34" s="2" t="s">
        <v>39</v>
      </c>
      <c r="B34" s="3">
        <v>45355</v>
      </c>
      <c r="C34" s="2" t="s">
        <v>124</v>
      </c>
      <c r="D34" s="2" t="str">
        <f t="shared" ca="1" si="0"/>
        <v>Electronics</v>
      </c>
      <c r="E34" s="2" t="str">
        <f t="shared" ca="1" si="1"/>
        <v>West</v>
      </c>
      <c r="F34" s="2">
        <v>7</v>
      </c>
      <c r="G34" s="2">
        <v>12000</v>
      </c>
    </row>
    <row r="35" spans="1:7" x14ac:dyDescent="0.5">
      <c r="A35" s="2" t="s">
        <v>40</v>
      </c>
      <c r="B35" s="3">
        <v>45356</v>
      </c>
      <c r="C35" s="2" t="s">
        <v>124</v>
      </c>
      <c r="D35" s="2" t="str">
        <f t="shared" ca="1" si="0"/>
        <v>Electronics</v>
      </c>
      <c r="E35" s="2" t="str">
        <f t="shared" ca="1" si="1"/>
        <v>North</v>
      </c>
      <c r="F35" s="2">
        <v>4</v>
      </c>
      <c r="G35" s="2">
        <v>14000</v>
      </c>
    </row>
    <row r="36" spans="1:7" x14ac:dyDescent="0.5">
      <c r="A36" s="2" t="s">
        <v>41</v>
      </c>
      <c r="B36" s="3">
        <v>45357</v>
      </c>
      <c r="C36" s="2" t="s">
        <v>122</v>
      </c>
      <c r="D36" s="2" t="str">
        <f t="shared" ca="1" si="0"/>
        <v>Electronics</v>
      </c>
      <c r="E36" s="2" t="str">
        <f t="shared" ca="1" si="1"/>
        <v>North</v>
      </c>
      <c r="F36" s="2">
        <v>5</v>
      </c>
      <c r="G36" s="2">
        <v>10000</v>
      </c>
    </row>
    <row r="37" spans="1:7" x14ac:dyDescent="0.5">
      <c r="A37" s="2" t="s">
        <v>42</v>
      </c>
      <c r="B37" s="3">
        <v>45358</v>
      </c>
      <c r="C37" s="2" t="s">
        <v>123</v>
      </c>
      <c r="D37" s="2" t="str">
        <f t="shared" ca="1" si="0"/>
        <v>Vehicle</v>
      </c>
      <c r="E37" s="2" t="str">
        <f t="shared" ca="1" si="1"/>
        <v>South</v>
      </c>
      <c r="F37" s="2">
        <v>6</v>
      </c>
      <c r="G37" s="2">
        <v>14000</v>
      </c>
    </row>
    <row r="38" spans="1:7" x14ac:dyDescent="0.5">
      <c r="A38" s="2" t="s">
        <v>43</v>
      </c>
      <c r="B38" s="3">
        <v>45359</v>
      </c>
      <c r="C38" s="2" t="s">
        <v>107</v>
      </c>
      <c r="D38" s="2" t="str">
        <f t="shared" ca="1" si="0"/>
        <v>Fashion</v>
      </c>
      <c r="E38" s="2" t="str">
        <f t="shared" ca="1" si="1"/>
        <v>North</v>
      </c>
      <c r="F38" s="2">
        <v>7</v>
      </c>
      <c r="G38" s="2">
        <v>15000</v>
      </c>
    </row>
    <row r="39" spans="1:7" x14ac:dyDescent="0.5">
      <c r="A39" s="2" t="s">
        <v>44</v>
      </c>
      <c r="B39" s="3">
        <v>45360</v>
      </c>
      <c r="C39" s="2" t="s">
        <v>124</v>
      </c>
      <c r="D39" s="2" t="str">
        <f t="shared" ca="1" si="0"/>
        <v>Vehicle</v>
      </c>
      <c r="E39" s="2" t="str">
        <f t="shared" ca="1" si="1"/>
        <v>North</v>
      </c>
      <c r="F39" s="2">
        <v>2</v>
      </c>
      <c r="G39" s="2">
        <v>11000</v>
      </c>
    </row>
    <row r="40" spans="1:7" x14ac:dyDescent="0.5">
      <c r="A40" s="2" t="s">
        <v>45</v>
      </c>
      <c r="B40" s="3">
        <v>45361</v>
      </c>
      <c r="C40" s="2" t="s">
        <v>107</v>
      </c>
      <c r="D40" s="2" t="str">
        <f t="shared" ca="1" si="0"/>
        <v>Vehicle</v>
      </c>
      <c r="E40" s="2" t="str">
        <f t="shared" ca="1" si="1"/>
        <v>North</v>
      </c>
      <c r="F40" s="2">
        <v>4</v>
      </c>
      <c r="G40" s="2">
        <v>11000</v>
      </c>
    </row>
    <row r="41" spans="1:7" x14ac:dyDescent="0.5">
      <c r="A41" s="2" t="s">
        <v>46</v>
      </c>
      <c r="B41" s="3">
        <v>45362</v>
      </c>
      <c r="C41" s="2" t="s">
        <v>107</v>
      </c>
      <c r="D41" s="2" t="str">
        <f t="shared" ca="1" si="0"/>
        <v>Electronics</v>
      </c>
      <c r="E41" s="2" t="str">
        <f t="shared" ca="1" si="1"/>
        <v>West</v>
      </c>
      <c r="F41" s="2">
        <v>6</v>
      </c>
      <c r="G41" s="2">
        <v>15000</v>
      </c>
    </row>
    <row r="42" spans="1:7" x14ac:dyDescent="0.5">
      <c r="A42" s="2" t="s">
        <v>47</v>
      </c>
      <c r="B42" s="3">
        <v>45363</v>
      </c>
      <c r="C42" s="2" t="s">
        <v>122</v>
      </c>
      <c r="D42" s="2" t="str">
        <f t="shared" ca="1" si="0"/>
        <v>Fashion</v>
      </c>
      <c r="E42" s="2" t="str">
        <f t="shared" ca="1" si="1"/>
        <v>South</v>
      </c>
      <c r="F42" s="2">
        <v>1</v>
      </c>
      <c r="G42" s="2">
        <v>10000</v>
      </c>
    </row>
    <row r="43" spans="1:7" x14ac:dyDescent="0.5">
      <c r="A43" s="2" t="s">
        <v>48</v>
      </c>
      <c r="B43" s="3">
        <v>45364</v>
      </c>
      <c r="C43" s="2" t="s">
        <v>124</v>
      </c>
      <c r="D43" s="2" t="str">
        <f t="shared" ca="1" si="0"/>
        <v>Fashion</v>
      </c>
      <c r="E43" s="2" t="str">
        <f t="shared" ca="1" si="1"/>
        <v>North</v>
      </c>
      <c r="F43" s="2">
        <v>3</v>
      </c>
      <c r="G43" s="2">
        <v>12000</v>
      </c>
    </row>
    <row r="44" spans="1:7" x14ac:dyDescent="0.5">
      <c r="A44" s="2" t="s">
        <v>49</v>
      </c>
      <c r="B44" s="3">
        <v>45365</v>
      </c>
      <c r="C44" s="2" t="s">
        <v>122</v>
      </c>
      <c r="D44" s="2" t="str">
        <f t="shared" ca="1" si="0"/>
        <v>Electronics</v>
      </c>
      <c r="E44" s="2" t="str">
        <f t="shared" ca="1" si="1"/>
        <v>West</v>
      </c>
      <c r="F44" s="2">
        <v>6</v>
      </c>
      <c r="G44" s="2">
        <v>11000</v>
      </c>
    </row>
    <row r="45" spans="1:7" x14ac:dyDescent="0.5">
      <c r="A45" s="2" t="s">
        <v>50</v>
      </c>
      <c r="B45" s="3">
        <v>45366</v>
      </c>
      <c r="C45" s="2" t="s">
        <v>107</v>
      </c>
      <c r="D45" s="2" t="str">
        <f t="shared" ca="1" si="0"/>
        <v>Fashion</v>
      </c>
      <c r="E45" s="2" t="str">
        <f t="shared" ca="1" si="1"/>
        <v>West</v>
      </c>
      <c r="F45" s="2">
        <v>1</v>
      </c>
      <c r="G45" s="2">
        <v>14000</v>
      </c>
    </row>
    <row r="46" spans="1:7" x14ac:dyDescent="0.5">
      <c r="A46" s="2" t="s">
        <v>51</v>
      </c>
      <c r="B46" s="3">
        <v>45367</v>
      </c>
      <c r="C46" s="2" t="s">
        <v>107</v>
      </c>
      <c r="D46" s="2" t="str">
        <f t="shared" ca="1" si="0"/>
        <v>Fashion</v>
      </c>
      <c r="E46" s="2" t="str">
        <f t="shared" ca="1" si="1"/>
        <v>East</v>
      </c>
      <c r="F46" s="2">
        <v>3</v>
      </c>
      <c r="G46" s="2">
        <v>11000</v>
      </c>
    </row>
    <row r="47" spans="1:7" x14ac:dyDescent="0.5">
      <c r="A47" s="2" t="s">
        <v>52</v>
      </c>
      <c r="B47" s="3">
        <v>45368</v>
      </c>
      <c r="C47" s="2" t="s">
        <v>107</v>
      </c>
      <c r="D47" s="2" t="str">
        <f t="shared" ca="1" si="0"/>
        <v>Electronics</v>
      </c>
      <c r="E47" s="2" t="str">
        <f t="shared" ca="1" si="1"/>
        <v>North</v>
      </c>
      <c r="F47" s="2">
        <v>3</v>
      </c>
      <c r="G47" s="2">
        <v>10000</v>
      </c>
    </row>
    <row r="48" spans="1:7" x14ac:dyDescent="0.5">
      <c r="A48" s="2" t="s">
        <v>53</v>
      </c>
      <c r="B48" s="3">
        <v>45369</v>
      </c>
      <c r="C48" s="2" t="s">
        <v>107</v>
      </c>
      <c r="D48" s="2" t="str">
        <f t="shared" ca="1" si="0"/>
        <v>Electronics</v>
      </c>
      <c r="E48" s="2" t="str">
        <f t="shared" ca="1" si="1"/>
        <v>East</v>
      </c>
      <c r="F48" s="2">
        <v>3</v>
      </c>
      <c r="G48" s="2">
        <v>13000</v>
      </c>
    </row>
    <row r="49" spans="1:7" x14ac:dyDescent="0.5">
      <c r="A49" s="2" t="s">
        <v>54</v>
      </c>
      <c r="B49" s="3">
        <v>45370</v>
      </c>
      <c r="C49" s="2" t="s">
        <v>122</v>
      </c>
      <c r="D49" s="2" t="str">
        <f t="shared" ca="1" si="0"/>
        <v>Electronics</v>
      </c>
      <c r="E49" s="2" t="str">
        <f t="shared" ca="1" si="1"/>
        <v>North</v>
      </c>
      <c r="F49" s="2">
        <v>5</v>
      </c>
      <c r="G49" s="2">
        <v>14000</v>
      </c>
    </row>
    <row r="50" spans="1:7" x14ac:dyDescent="0.5">
      <c r="A50" s="2" t="s">
        <v>55</v>
      </c>
      <c r="B50" s="3">
        <v>45371</v>
      </c>
      <c r="C50" s="2" t="s">
        <v>123</v>
      </c>
      <c r="D50" s="2" t="str">
        <f t="shared" ca="1" si="0"/>
        <v>Fashion</v>
      </c>
      <c r="E50" s="2" t="str">
        <f t="shared" ca="1" si="1"/>
        <v>East</v>
      </c>
      <c r="F50" s="2">
        <v>1</v>
      </c>
      <c r="G50" s="2">
        <v>13000</v>
      </c>
    </row>
    <row r="51" spans="1:7" x14ac:dyDescent="0.5">
      <c r="A51" s="2" t="s">
        <v>56</v>
      </c>
      <c r="B51" s="3">
        <v>45372</v>
      </c>
      <c r="C51" s="2" t="s">
        <v>122</v>
      </c>
      <c r="D51" s="2" t="str">
        <f t="shared" ca="1" si="0"/>
        <v>Vehicle</v>
      </c>
      <c r="E51" s="2" t="str">
        <f t="shared" ca="1" si="1"/>
        <v>North</v>
      </c>
      <c r="F51" s="2">
        <v>1</v>
      </c>
      <c r="G51" s="2">
        <v>15000</v>
      </c>
    </row>
    <row r="52" spans="1:7" x14ac:dyDescent="0.5">
      <c r="A52" s="2" t="s">
        <v>57</v>
      </c>
      <c r="B52" s="3">
        <v>45373</v>
      </c>
      <c r="C52" s="2" t="s">
        <v>124</v>
      </c>
      <c r="D52" s="2" t="str">
        <f t="shared" ca="1" si="0"/>
        <v>Fashion</v>
      </c>
      <c r="E52" s="2" t="str">
        <f t="shared" ca="1" si="1"/>
        <v>West</v>
      </c>
      <c r="F52" s="2">
        <v>6</v>
      </c>
      <c r="G52" s="2">
        <v>15000</v>
      </c>
    </row>
    <row r="53" spans="1:7" x14ac:dyDescent="0.5">
      <c r="A53" s="2" t="s">
        <v>58</v>
      </c>
      <c r="B53" s="3">
        <v>45374</v>
      </c>
      <c r="C53" s="2" t="s">
        <v>122</v>
      </c>
      <c r="D53" s="2" t="str">
        <f t="shared" ca="1" si="0"/>
        <v>Vehicle</v>
      </c>
      <c r="E53" s="2" t="str">
        <f t="shared" ca="1" si="1"/>
        <v>South</v>
      </c>
      <c r="F53" s="2">
        <v>4</v>
      </c>
      <c r="G53" s="2">
        <v>14000</v>
      </c>
    </row>
    <row r="54" spans="1:7" x14ac:dyDescent="0.5">
      <c r="A54" s="2" t="s">
        <v>59</v>
      </c>
      <c r="B54" s="3">
        <v>45375</v>
      </c>
      <c r="C54" s="2" t="s">
        <v>123</v>
      </c>
      <c r="D54" s="2" t="str">
        <f t="shared" ca="1" si="0"/>
        <v>Electronics</v>
      </c>
      <c r="E54" s="2" t="str">
        <f t="shared" ca="1" si="1"/>
        <v>West</v>
      </c>
      <c r="F54" s="2">
        <v>5</v>
      </c>
      <c r="G54" s="2">
        <v>11000</v>
      </c>
    </row>
    <row r="55" spans="1:7" x14ac:dyDescent="0.5">
      <c r="A55" s="2" t="s">
        <v>60</v>
      </c>
      <c r="B55" s="3">
        <v>45376</v>
      </c>
      <c r="C55" s="2" t="s">
        <v>124</v>
      </c>
      <c r="D55" s="2" t="str">
        <f t="shared" ca="1" si="0"/>
        <v>Electronics</v>
      </c>
      <c r="E55" s="2" t="str">
        <f t="shared" ca="1" si="1"/>
        <v>West</v>
      </c>
      <c r="F55" s="2">
        <v>1</v>
      </c>
      <c r="G55" s="2">
        <v>12000</v>
      </c>
    </row>
    <row r="56" spans="1:7" x14ac:dyDescent="0.5">
      <c r="A56" s="2" t="s">
        <v>61</v>
      </c>
      <c r="B56" s="3">
        <v>45377</v>
      </c>
      <c r="C56" s="2" t="s">
        <v>123</v>
      </c>
      <c r="D56" s="2" t="str">
        <f t="shared" ca="1" si="0"/>
        <v>Fashion</v>
      </c>
      <c r="E56" s="2" t="str">
        <f t="shared" ca="1" si="1"/>
        <v>West</v>
      </c>
      <c r="F56" s="2">
        <v>7</v>
      </c>
      <c r="G56" s="2">
        <v>13000</v>
      </c>
    </row>
    <row r="57" spans="1:7" x14ac:dyDescent="0.5">
      <c r="A57" s="2" t="s">
        <v>62</v>
      </c>
      <c r="B57" s="3">
        <v>45378</v>
      </c>
      <c r="C57" s="2" t="s">
        <v>123</v>
      </c>
      <c r="D57" s="2" t="str">
        <f t="shared" ca="1" si="0"/>
        <v>Fashion</v>
      </c>
      <c r="E57" s="2" t="str">
        <f t="shared" ca="1" si="1"/>
        <v>North</v>
      </c>
      <c r="F57" s="2">
        <v>4</v>
      </c>
      <c r="G57" s="2">
        <v>14000</v>
      </c>
    </row>
    <row r="58" spans="1:7" x14ac:dyDescent="0.5">
      <c r="A58" s="2" t="s">
        <v>63</v>
      </c>
      <c r="B58" s="3">
        <v>45379</v>
      </c>
      <c r="C58" s="2" t="s">
        <v>107</v>
      </c>
      <c r="D58" s="2" t="str">
        <f t="shared" ca="1" si="0"/>
        <v>Fashion</v>
      </c>
      <c r="E58" s="2" t="str">
        <f t="shared" ca="1" si="1"/>
        <v>West</v>
      </c>
      <c r="F58" s="2">
        <v>5</v>
      </c>
      <c r="G58" s="2">
        <v>14000</v>
      </c>
    </row>
    <row r="59" spans="1:7" x14ac:dyDescent="0.5">
      <c r="A59" s="2" t="s">
        <v>64</v>
      </c>
      <c r="B59" s="3">
        <v>45380</v>
      </c>
      <c r="C59" s="2" t="s">
        <v>107</v>
      </c>
      <c r="D59" s="2" t="str">
        <f t="shared" ca="1" si="0"/>
        <v>Electronics</v>
      </c>
      <c r="E59" s="2" t="str">
        <f t="shared" ca="1" si="1"/>
        <v>North</v>
      </c>
      <c r="F59" s="2">
        <v>4</v>
      </c>
      <c r="G59" s="2">
        <v>10000</v>
      </c>
    </row>
    <row r="60" spans="1:7" x14ac:dyDescent="0.5">
      <c r="A60" s="2" t="s">
        <v>65</v>
      </c>
      <c r="B60" s="3">
        <v>45381</v>
      </c>
      <c r="C60" s="2" t="s">
        <v>122</v>
      </c>
      <c r="D60" s="2" t="str">
        <f t="shared" ca="1" si="0"/>
        <v>Electronics</v>
      </c>
      <c r="E60" s="2" t="str">
        <f t="shared" ca="1" si="1"/>
        <v>West</v>
      </c>
      <c r="F60" s="2">
        <v>3</v>
      </c>
      <c r="G60" s="2">
        <v>12000</v>
      </c>
    </row>
    <row r="61" spans="1:7" x14ac:dyDescent="0.5">
      <c r="A61" s="2" t="s">
        <v>66</v>
      </c>
      <c r="B61" s="3">
        <v>45382</v>
      </c>
      <c r="C61" s="2" t="s">
        <v>107</v>
      </c>
      <c r="D61" s="2" t="str">
        <f t="shared" ca="1" si="0"/>
        <v>Fashion</v>
      </c>
      <c r="E61" s="2" t="str">
        <f t="shared" ca="1" si="1"/>
        <v>North</v>
      </c>
      <c r="F61" s="2">
        <v>5</v>
      </c>
      <c r="G61" s="2">
        <v>14000</v>
      </c>
    </row>
    <row r="62" spans="1:7" x14ac:dyDescent="0.5">
      <c r="A62" s="2" t="s">
        <v>67</v>
      </c>
      <c r="B62" s="3">
        <v>45383</v>
      </c>
      <c r="C62" s="2" t="s">
        <v>124</v>
      </c>
      <c r="D62" s="2" t="str">
        <f t="shared" ca="1" si="0"/>
        <v>Vehicle</v>
      </c>
      <c r="E62" s="2" t="str">
        <f t="shared" ca="1" si="1"/>
        <v>North</v>
      </c>
      <c r="F62" s="2">
        <v>3</v>
      </c>
      <c r="G62" s="2">
        <v>14000</v>
      </c>
    </row>
    <row r="63" spans="1:7" x14ac:dyDescent="0.5">
      <c r="A63" s="2" t="s">
        <v>68</v>
      </c>
      <c r="B63" s="3">
        <v>45384</v>
      </c>
      <c r="C63" s="2" t="s">
        <v>123</v>
      </c>
      <c r="D63" s="2" t="str">
        <f t="shared" ca="1" si="0"/>
        <v>Vehicle</v>
      </c>
      <c r="E63" s="2" t="str">
        <f t="shared" ca="1" si="1"/>
        <v>North</v>
      </c>
      <c r="F63" s="2">
        <v>1</v>
      </c>
      <c r="G63" s="2">
        <v>15000</v>
      </c>
    </row>
    <row r="64" spans="1:7" x14ac:dyDescent="0.5">
      <c r="A64" s="2" t="s">
        <v>69</v>
      </c>
      <c r="B64" s="3">
        <v>45385</v>
      </c>
      <c r="C64" s="2" t="s">
        <v>123</v>
      </c>
      <c r="D64" s="2" t="str">
        <f t="shared" ca="1" si="0"/>
        <v>Electronics</v>
      </c>
      <c r="E64" s="2" t="str">
        <f t="shared" ca="1" si="1"/>
        <v>East</v>
      </c>
      <c r="F64" s="2">
        <v>3</v>
      </c>
      <c r="G64" s="2">
        <v>12000</v>
      </c>
    </row>
    <row r="65" spans="1:7" x14ac:dyDescent="0.5">
      <c r="A65" s="2" t="s">
        <v>70</v>
      </c>
      <c r="B65" s="3">
        <v>45386</v>
      </c>
      <c r="C65" s="2" t="s">
        <v>124</v>
      </c>
      <c r="D65" s="2" t="str">
        <f t="shared" ca="1" si="0"/>
        <v>Electronics</v>
      </c>
      <c r="E65" s="2" t="str">
        <f t="shared" ca="1" si="1"/>
        <v>South</v>
      </c>
      <c r="F65" s="2">
        <v>6</v>
      </c>
      <c r="G65" s="2">
        <v>11000</v>
      </c>
    </row>
    <row r="66" spans="1:7" x14ac:dyDescent="0.5">
      <c r="A66" s="2" t="s">
        <v>71</v>
      </c>
      <c r="B66" s="3">
        <v>45387</v>
      </c>
      <c r="C66" s="2" t="s">
        <v>123</v>
      </c>
      <c r="D66" s="2" t="str">
        <f t="shared" ca="1" si="0"/>
        <v>Vehicle</v>
      </c>
      <c r="E66" s="2" t="str">
        <f t="shared" ca="1" si="1"/>
        <v>East</v>
      </c>
      <c r="F66" s="2">
        <v>4</v>
      </c>
      <c r="G66" s="2">
        <v>15000</v>
      </c>
    </row>
    <row r="67" spans="1:7" x14ac:dyDescent="0.5">
      <c r="A67" s="2" t="s">
        <v>72</v>
      </c>
      <c r="B67" s="3">
        <v>45388</v>
      </c>
      <c r="C67" s="2" t="s">
        <v>122</v>
      </c>
      <c r="D67" s="2" t="str">
        <f t="shared" ref="D67:D101" ca="1" si="2">CHOOSE(RANDBETWEEN(1,3),"Electronics","Vehicle","Fashion")</f>
        <v>Vehicle</v>
      </c>
      <c r="E67" s="2" t="str">
        <f t="shared" ref="E67:E101" ca="1" si="3">CHOOSE(RANDBETWEEN(1,4),"North","South","West","East")</f>
        <v>West</v>
      </c>
      <c r="F67" s="2">
        <v>3</v>
      </c>
      <c r="G67" s="2">
        <v>13000</v>
      </c>
    </row>
    <row r="68" spans="1:7" x14ac:dyDescent="0.5">
      <c r="A68" s="2" t="s">
        <v>73</v>
      </c>
      <c r="B68" s="3">
        <v>45389</v>
      </c>
      <c r="C68" s="2" t="s">
        <v>124</v>
      </c>
      <c r="D68" s="2" t="str">
        <f t="shared" ca="1" si="2"/>
        <v>Fashion</v>
      </c>
      <c r="E68" s="2" t="str">
        <f t="shared" ca="1" si="3"/>
        <v>East</v>
      </c>
      <c r="F68" s="2">
        <v>6</v>
      </c>
      <c r="G68" s="2">
        <v>10000</v>
      </c>
    </row>
    <row r="69" spans="1:7" x14ac:dyDescent="0.5">
      <c r="A69" s="2" t="s">
        <v>74</v>
      </c>
      <c r="B69" s="3">
        <v>45390</v>
      </c>
      <c r="C69" s="2" t="s">
        <v>107</v>
      </c>
      <c r="D69" s="2" t="str">
        <f t="shared" ca="1" si="2"/>
        <v>Fashion</v>
      </c>
      <c r="E69" s="2" t="str">
        <f t="shared" ca="1" si="3"/>
        <v>East</v>
      </c>
      <c r="F69" s="2">
        <v>1</v>
      </c>
      <c r="G69" s="2">
        <v>11000</v>
      </c>
    </row>
    <row r="70" spans="1:7" x14ac:dyDescent="0.5">
      <c r="A70" s="2" t="s">
        <v>75</v>
      </c>
      <c r="B70" s="3">
        <v>45391</v>
      </c>
      <c r="C70" s="2" t="s">
        <v>124</v>
      </c>
      <c r="D70" s="2" t="str">
        <f t="shared" ca="1" si="2"/>
        <v>Fashion</v>
      </c>
      <c r="E70" s="2" t="str">
        <f t="shared" ca="1" si="3"/>
        <v>South</v>
      </c>
      <c r="F70" s="2">
        <v>2</v>
      </c>
      <c r="G70" s="2">
        <v>10000</v>
      </c>
    </row>
    <row r="71" spans="1:7" x14ac:dyDescent="0.5">
      <c r="A71" s="2" t="s">
        <v>76</v>
      </c>
      <c r="B71" s="3">
        <v>45392</v>
      </c>
      <c r="C71" s="2" t="s">
        <v>124</v>
      </c>
      <c r="D71" s="2" t="str">
        <f t="shared" ca="1" si="2"/>
        <v>Vehicle</v>
      </c>
      <c r="E71" s="2" t="str">
        <f t="shared" ca="1" si="3"/>
        <v>East</v>
      </c>
      <c r="F71" s="2">
        <v>6</v>
      </c>
      <c r="G71" s="2">
        <v>14000</v>
      </c>
    </row>
    <row r="72" spans="1:7" x14ac:dyDescent="0.5">
      <c r="A72" s="2" t="s">
        <v>77</v>
      </c>
      <c r="B72" s="3">
        <v>45393</v>
      </c>
      <c r="C72" s="2" t="s">
        <v>122</v>
      </c>
      <c r="D72" s="2" t="str">
        <f t="shared" ca="1" si="2"/>
        <v>Electronics</v>
      </c>
      <c r="E72" s="2" t="str">
        <f t="shared" ca="1" si="3"/>
        <v>West</v>
      </c>
      <c r="F72" s="2">
        <v>6</v>
      </c>
      <c r="G72" s="2">
        <v>11000</v>
      </c>
    </row>
    <row r="73" spans="1:7" x14ac:dyDescent="0.5">
      <c r="A73" s="2" t="s">
        <v>78</v>
      </c>
      <c r="B73" s="3">
        <v>45394</v>
      </c>
      <c r="C73" s="2" t="s">
        <v>107</v>
      </c>
      <c r="D73" s="2" t="str">
        <f t="shared" ca="1" si="2"/>
        <v>Electronics</v>
      </c>
      <c r="E73" s="2" t="str">
        <f t="shared" ca="1" si="3"/>
        <v>North</v>
      </c>
      <c r="F73" s="2">
        <v>2</v>
      </c>
      <c r="G73" s="2">
        <v>11000</v>
      </c>
    </row>
    <row r="74" spans="1:7" x14ac:dyDescent="0.5">
      <c r="A74" s="2" t="s">
        <v>79</v>
      </c>
      <c r="B74" s="3">
        <v>45395</v>
      </c>
      <c r="C74" s="2" t="s">
        <v>123</v>
      </c>
      <c r="D74" s="2" t="str">
        <f t="shared" ca="1" si="2"/>
        <v>Fashion</v>
      </c>
      <c r="E74" s="2" t="str">
        <f t="shared" ca="1" si="3"/>
        <v>South</v>
      </c>
      <c r="F74" s="2">
        <v>1</v>
      </c>
      <c r="G74" s="2">
        <v>14000</v>
      </c>
    </row>
    <row r="75" spans="1:7" x14ac:dyDescent="0.5">
      <c r="A75" s="2" t="s">
        <v>80</v>
      </c>
      <c r="B75" s="3">
        <v>45396</v>
      </c>
      <c r="C75" s="2" t="s">
        <v>122</v>
      </c>
      <c r="D75" s="2" t="str">
        <f t="shared" ca="1" si="2"/>
        <v>Vehicle</v>
      </c>
      <c r="E75" s="2" t="str">
        <f t="shared" ca="1" si="3"/>
        <v>South</v>
      </c>
      <c r="F75" s="2">
        <v>7</v>
      </c>
      <c r="G75" s="2">
        <v>10000</v>
      </c>
    </row>
    <row r="76" spans="1:7" x14ac:dyDescent="0.5">
      <c r="A76" s="2" t="s">
        <v>81</v>
      </c>
      <c r="B76" s="3">
        <v>45397</v>
      </c>
      <c r="C76" s="2" t="s">
        <v>124</v>
      </c>
      <c r="D76" s="2" t="str">
        <f t="shared" ca="1" si="2"/>
        <v>Electronics</v>
      </c>
      <c r="E76" s="2" t="str">
        <f t="shared" ca="1" si="3"/>
        <v>West</v>
      </c>
      <c r="F76" s="2">
        <v>2</v>
      </c>
      <c r="G76" s="2">
        <v>10000</v>
      </c>
    </row>
    <row r="77" spans="1:7" x14ac:dyDescent="0.5">
      <c r="A77" s="2" t="s">
        <v>82</v>
      </c>
      <c r="B77" s="3">
        <v>45398</v>
      </c>
      <c r="C77" s="2" t="s">
        <v>122</v>
      </c>
      <c r="D77" s="2" t="str">
        <f t="shared" ca="1" si="2"/>
        <v>Electronics</v>
      </c>
      <c r="E77" s="2" t="str">
        <f t="shared" ca="1" si="3"/>
        <v>North</v>
      </c>
      <c r="F77" s="2">
        <v>5</v>
      </c>
      <c r="G77" s="2">
        <v>10000</v>
      </c>
    </row>
    <row r="78" spans="1:7" x14ac:dyDescent="0.5">
      <c r="A78" s="2" t="s">
        <v>83</v>
      </c>
      <c r="B78" s="3">
        <v>45399</v>
      </c>
      <c r="C78" s="2" t="s">
        <v>124</v>
      </c>
      <c r="D78" s="2" t="str">
        <f t="shared" ca="1" si="2"/>
        <v>Vehicle</v>
      </c>
      <c r="E78" s="2" t="str">
        <f t="shared" ca="1" si="3"/>
        <v>East</v>
      </c>
      <c r="F78" s="2">
        <v>1</v>
      </c>
      <c r="G78" s="2">
        <v>15000</v>
      </c>
    </row>
    <row r="79" spans="1:7" x14ac:dyDescent="0.5">
      <c r="A79" s="2" t="s">
        <v>84</v>
      </c>
      <c r="B79" s="3">
        <v>45400</v>
      </c>
      <c r="C79" s="2" t="s">
        <v>124</v>
      </c>
      <c r="D79" s="2" t="str">
        <f t="shared" ca="1" si="2"/>
        <v>Fashion</v>
      </c>
      <c r="E79" s="2" t="str">
        <f t="shared" ca="1" si="3"/>
        <v>West</v>
      </c>
      <c r="F79" s="2">
        <v>2</v>
      </c>
      <c r="G79" s="2">
        <v>10000</v>
      </c>
    </row>
    <row r="80" spans="1:7" x14ac:dyDescent="0.5">
      <c r="A80" s="2" t="s">
        <v>85</v>
      </c>
      <c r="B80" s="3">
        <v>45401</v>
      </c>
      <c r="C80" s="2" t="s">
        <v>122</v>
      </c>
      <c r="D80" s="2" t="str">
        <f t="shared" ca="1" si="2"/>
        <v>Vehicle</v>
      </c>
      <c r="E80" s="2" t="str">
        <f t="shared" ca="1" si="3"/>
        <v>North</v>
      </c>
      <c r="F80" s="2">
        <v>6</v>
      </c>
      <c r="G80" s="2">
        <v>15000</v>
      </c>
    </row>
    <row r="81" spans="1:7" x14ac:dyDescent="0.5">
      <c r="A81" s="2" t="s">
        <v>86</v>
      </c>
      <c r="B81" s="3">
        <v>45402</v>
      </c>
      <c r="C81" s="2" t="s">
        <v>123</v>
      </c>
      <c r="D81" s="2" t="str">
        <f t="shared" ca="1" si="2"/>
        <v>Vehicle</v>
      </c>
      <c r="E81" s="2" t="str">
        <f t="shared" ca="1" si="3"/>
        <v>East</v>
      </c>
      <c r="F81" s="2">
        <v>2</v>
      </c>
      <c r="G81" s="2">
        <v>14000</v>
      </c>
    </row>
    <row r="82" spans="1:7" x14ac:dyDescent="0.5">
      <c r="A82" s="2" t="s">
        <v>87</v>
      </c>
      <c r="B82" s="3">
        <v>45403</v>
      </c>
      <c r="C82" s="2" t="s">
        <v>123</v>
      </c>
      <c r="D82" s="2" t="str">
        <f t="shared" ca="1" si="2"/>
        <v>Fashion</v>
      </c>
      <c r="E82" s="2" t="str">
        <f t="shared" ca="1" si="3"/>
        <v>East</v>
      </c>
      <c r="F82" s="2">
        <v>6</v>
      </c>
      <c r="G82" s="2">
        <v>11000</v>
      </c>
    </row>
    <row r="83" spans="1:7" x14ac:dyDescent="0.5">
      <c r="A83" s="2" t="s">
        <v>88</v>
      </c>
      <c r="B83" s="3">
        <v>45404</v>
      </c>
      <c r="C83" s="2" t="s">
        <v>124</v>
      </c>
      <c r="D83" s="2" t="str">
        <f t="shared" ca="1" si="2"/>
        <v>Vehicle</v>
      </c>
      <c r="E83" s="2" t="str">
        <f t="shared" ca="1" si="3"/>
        <v>East</v>
      </c>
      <c r="F83" s="2">
        <v>3</v>
      </c>
      <c r="G83" s="2">
        <v>10000</v>
      </c>
    </row>
    <row r="84" spans="1:7" x14ac:dyDescent="0.5">
      <c r="A84" s="2" t="s">
        <v>89</v>
      </c>
      <c r="B84" s="3">
        <v>45405</v>
      </c>
      <c r="C84" s="2" t="s">
        <v>122</v>
      </c>
      <c r="D84" s="2" t="str">
        <f t="shared" ca="1" si="2"/>
        <v>Fashion</v>
      </c>
      <c r="E84" s="2" t="str">
        <f t="shared" ca="1" si="3"/>
        <v>North</v>
      </c>
      <c r="F84" s="2">
        <v>3</v>
      </c>
      <c r="G84" s="2">
        <v>13000</v>
      </c>
    </row>
    <row r="85" spans="1:7" x14ac:dyDescent="0.5">
      <c r="A85" s="2" t="s">
        <v>90</v>
      </c>
      <c r="B85" s="3">
        <v>45406</v>
      </c>
      <c r="C85" s="2" t="s">
        <v>107</v>
      </c>
      <c r="D85" s="2" t="str">
        <f t="shared" ca="1" si="2"/>
        <v>Fashion</v>
      </c>
      <c r="E85" s="2" t="str">
        <f t="shared" ca="1" si="3"/>
        <v>East</v>
      </c>
      <c r="F85" s="2">
        <v>4</v>
      </c>
      <c r="G85" s="2">
        <v>15000</v>
      </c>
    </row>
    <row r="86" spans="1:7" x14ac:dyDescent="0.5">
      <c r="A86" s="2" t="s">
        <v>91</v>
      </c>
      <c r="B86" s="3">
        <v>45407</v>
      </c>
      <c r="C86" s="2" t="s">
        <v>124</v>
      </c>
      <c r="D86" s="2" t="str">
        <f t="shared" ca="1" si="2"/>
        <v>Vehicle</v>
      </c>
      <c r="E86" s="2" t="str">
        <f t="shared" ca="1" si="3"/>
        <v>East</v>
      </c>
      <c r="F86" s="2">
        <v>4</v>
      </c>
      <c r="G86" s="2">
        <v>14000</v>
      </c>
    </row>
    <row r="87" spans="1:7" x14ac:dyDescent="0.5">
      <c r="A87" s="2" t="s">
        <v>92</v>
      </c>
      <c r="B87" s="3">
        <v>45408</v>
      </c>
      <c r="C87" s="2" t="s">
        <v>123</v>
      </c>
      <c r="D87" s="2" t="str">
        <f t="shared" ca="1" si="2"/>
        <v>Electronics</v>
      </c>
      <c r="E87" s="2" t="str">
        <f t="shared" ca="1" si="3"/>
        <v>North</v>
      </c>
      <c r="F87" s="2">
        <v>1</v>
      </c>
      <c r="G87" s="2">
        <v>12000</v>
      </c>
    </row>
    <row r="88" spans="1:7" x14ac:dyDescent="0.5">
      <c r="A88" s="2" t="s">
        <v>93</v>
      </c>
      <c r="B88" s="3">
        <v>45409</v>
      </c>
      <c r="C88" s="2" t="s">
        <v>122</v>
      </c>
      <c r="D88" s="2" t="str">
        <f t="shared" ca="1" si="2"/>
        <v>Vehicle</v>
      </c>
      <c r="E88" s="2" t="str">
        <f t="shared" ca="1" si="3"/>
        <v>South</v>
      </c>
      <c r="F88" s="2">
        <v>2</v>
      </c>
      <c r="G88" s="2">
        <v>11000</v>
      </c>
    </row>
    <row r="89" spans="1:7" x14ac:dyDescent="0.5">
      <c r="A89" s="2" t="s">
        <v>94</v>
      </c>
      <c r="B89" s="3">
        <v>45410</v>
      </c>
      <c r="C89" s="2" t="s">
        <v>122</v>
      </c>
      <c r="D89" s="2" t="str">
        <f t="shared" ca="1" si="2"/>
        <v>Electronics</v>
      </c>
      <c r="E89" s="2" t="str">
        <f t="shared" ca="1" si="3"/>
        <v>West</v>
      </c>
      <c r="F89" s="2">
        <v>4</v>
      </c>
      <c r="G89" s="2">
        <v>15000</v>
      </c>
    </row>
    <row r="90" spans="1:7" x14ac:dyDescent="0.5">
      <c r="A90" s="2" t="s">
        <v>95</v>
      </c>
      <c r="B90" s="3">
        <v>45411</v>
      </c>
      <c r="C90" s="2" t="s">
        <v>124</v>
      </c>
      <c r="D90" s="2" t="str">
        <f t="shared" ca="1" si="2"/>
        <v>Vehicle</v>
      </c>
      <c r="E90" s="2" t="str">
        <f t="shared" ca="1" si="3"/>
        <v>South</v>
      </c>
      <c r="F90" s="2">
        <v>4</v>
      </c>
      <c r="G90" s="2">
        <v>13000</v>
      </c>
    </row>
    <row r="91" spans="1:7" x14ac:dyDescent="0.5">
      <c r="A91" s="2" t="s">
        <v>96</v>
      </c>
      <c r="B91" s="3">
        <v>45412</v>
      </c>
      <c r="C91" s="2" t="s">
        <v>107</v>
      </c>
      <c r="D91" s="2" t="str">
        <f t="shared" ca="1" si="2"/>
        <v>Electronics</v>
      </c>
      <c r="E91" s="2" t="str">
        <f t="shared" ca="1" si="3"/>
        <v>East</v>
      </c>
      <c r="F91" s="2">
        <v>2</v>
      </c>
      <c r="G91" s="2">
        <v>13000</v>
      </c>
    </row>
    <row r="92" spans="1:7" x14ac:dyDescent="0.5">
      <c r="A92" s="2" t="s">
        <v>97</v>
      </c>
      <c r="B92" s="3">
        <v>45413</v>
      </c>
      <c r="C92" s="2" t="s">
        <v>124</v>
      </c>
      <c r="D92" s="2" t="str">
        <f t="shared" ca="1" si="2"/>
        <v>Fashion</v>
      </c>
      <c r="E92" s="2" t="str">
        <f t="shared" ca="1" si="3"/>
        <v>West</v>
      </c>
      <c r="F92" s="2">
        <v>5</v>
      </c>
      <c r="G92" s="2">
        <v>12000</v>
      </c>
    </row>
    <row r="93" spans="1:7" x14ac:dyDescent="0.5">
      <c r="A93" s="2" t="s">
        <v>98</v>
      </c>
      <c r="B93" s="3">
        <v>45414</v>
      </c>
      <c r="C93" s="2" t="s">
        <v>122</v>
      </c>
      <c r="D93" s="2" t="str">
        <f t="shared" ca="1" si="2"/>
        <v>Vehicle</v>
      </c>
      <c r="E93" s="2" t="str">
        <f t="shared" ca="1" si="3"/>
        <v>South</v>
      </c>
      <c r="F93" s="2">
        <v>1</v>
      </c>
      <c r="G93" s="2">
        <v>13000</v>
      </c>
    </row>
    <row r="94" spans="1:7" x14ac:dyDescent="0.5">
      <c r="A94" s="2" t="s">
        <v>99</v>
      </c>
      <c r="B94" s="3">
        <v>45415</v>
      </c>
      <c r="C94" s="2" t="s">
        <v>107</v>
      </c>
      <c r="D94" s="2" t="str">
        <f t="shared" ca="1" si="2"/>
        <v>Fashion</v>
      </c>
      <c r="E94" s="2" t="str">
        <f t="shared" ca="1" si="3"/>
        <v>North</v>
      </c>
      <c r="F94" s="2">
        <v>6</v>
      </c>
      <c r="G94" s="2">
        <v>14000</v>
      </c>
    </row>
    <row r="95" spans="1:7" x14ac:dyDescent="0.5">
      <c r="A95" s="2" t="s">
        <v>100</v>
      </c>
      <c r="B95" s="3">
        <v>45416</v>
      </c>
      <c r="C95" s="2" t="s">
        <v>122</v>
      </c>
      <c r="D95" s="2" t="str">
        <f t="shared" ca="1" si="2"/>
        <v>Electronics</v>
      </c>
      <c r="E95" s="2" t="str">
        <f t="shared" ca="1" si="3"/>
        <v>West</v>
      </c>
      <c r="F95" s="2">
        <v>2</v>
      </c>
      <c r="G95" s="2">
        <v>13000</v>
      </c>
    </row>
    <row r="96" spans="1:7" x14ac:dyDescent="0.5">
      <c r="A96" s="2" t="s">
        <v>101</v>
      </c>
      <c r="B96" s="3">
        <v>45417</v>
      </c>
      <c r="C96" s="2" t="s">
        <v>123</v>
      </c>
      <c r="D96" s="2" t="str">
        <f t="shared" ca="1" si="2"/>
        <v>Electronics</v>
      </c>
      <c r="E96" s="2" t="str">
        <f t="shared" ca="1" si="3"/>
        <v>East</v>
      </c>
      <c r="F96" s="2">
        <v>2</v>
      </c>
      <c r="G96" s="2">
        <v>13000</v>
      </c>
    </row>
    <row r="97" spans="1:7" x14ac:dyDescent="0.5">
      <c r="A97" s="2" t="s">
        <v>102</v>
      </c>
      <c r="B97" s="3">
        <v>45418</v>
      </c>
      <c r="C97" s="2" t="s">
        <v>123</v>
      </c>
      <c r="D97" s="2" t="str">
        <f t="shared" ca="1" si="2"/>
        <v>Fashion</v>
      </c>
      <c r="E97" s="2" t="str">
        <f t="shared" ca="1" si="3"/>
        <v>North</v>
      </c>
      <c r="F97" s="2">
        <v>4</v>
      </c>
      <c r="G97" s="2">
        <v>13000</v>
      </c>
    </row>
    <row r="98" spans="1:7" x14ac:dyDescent="0.5">
      <c r="A98" s="2" t="s">
        <v>103</v>
      </c>
      <c r="B98" s="3">
        <v>45419</v>
      </c>
      <c r="C98" s="2" t="s">
        <v>123</v>
      </c>
      <c r="D98" s="2" t="str">
        <f t="shared" ca="1" si="2"/>
        <v>Vehicle</v>
      </c>
      <c r="E98" s="2" t="str">
        <f t="shared" ca="1" si="3"/>
        <v>West</v>
      </c>
      <c r="F98" s="2">
        <v>7</v>
      </c>
      <c r="G98" s="2">
        <v>15000</v>
      </c>
    </row>
    <row r="99" spans="1:7" x14ac:dyDescent="0.5">
      <c r="A99" s="2" t="s">
        <v>104</v>
      </c>
      <c r="B99" s="3">
        <v>45420</v>
      </c>
      <c r="C99" s="2" t="s">
        <v>122</v>
      </c>
      <c r="D99" s="2" t="str">
        <f t="shared" ca="1" si="2"/>
        <v>Fashion</v>
      </c>
      <c r="E99" s="2" t="str">
        <f t="shared" ca="1" si="3"/>
        <v>West</v>
      </c>
      <c r="F99" s="2">
        <v>7</v>
      </c>
      <c r="G99" s="2">
        <v>12000</v>
      </c>
    </row>
    <row r="100" spans="1:7" x14ac:dyDescent="0.5">
      <c r="A100" s="2" t="s">
        <v>105</v>
      </c>
      <c r="B100" s="3">
        <v>45421</v>
      </c>
      <c r="C100" s="2" t="s">
        <v>123</v>
      </c>
      <c r="D100" s="2" t="str">
        <f t="shared" ca="1" si="2"/>
        <v>Vehicle</v>
      </c>
      <c r="E100" s="2" t="str">
        <f t="shared" ca="1" si="3"/>
        <v>East</v>
      </c>
      <c r="F100" s="2">
        <v>3</v>
      </c>
      <c r="G100" s="2">
        <v>10000</v>
      </c>
    </row>
    <row r="101" spans="1:7" x14ac:dyDescent="0.5">
      <c r="A101" s="2" t="s">
        <v>106</v>
      </c>
      <c r="B101" s="3">
        <v>45422</v>
      </c>
      <c r="C101" s="2" t="s">
        <v>122</v>
      </c>
      <c r="D101" s="2" t="str">
        <f t="shared" ca="1" si="2"/>
        <v>Vehicle</v>
      </c>
      <c r="E101" s="2" t="str">
        <f t="shared" ca="1" si="3"/>
        <v>East</v>
      </c>
      <c r="F101" s="2">
        <v>1</v>
      </c>
      <c r="G101" s="2">
        <v>14000</v>
      </c>
    </row>
    <row r="102" spans="1:7" x14ac:dyDescent="0.5">
      <c r="B102" s="2"/>
      <c r="C102" s="2"/>
      <c r="D102" s="2"/>
      <c r="E102" s="2"/>
      <c r="F102" s="2"/>
      <c r="G102" s="2"/>
    </row>
    <row r="103" spans="1:7" x14ac:dyDescent="0.5">
      <c r="B103" s="2"/>
      <c r="C103" s="2"/>
      <c r="D103" s="2"/>
      <c r="E103" s="2"/>
      <c r="F103" s="2"/>
      <c r="G103" s="2"/>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822C-7B02-463B-BE38-CCB01FA00913}">
  <dimension ref="B4:I18"/>
  <sheetViews>
    <sheetView topLeftCell="B1" workbookViewId="0">
      <selection activeCell="B14" sqref="B14"/>
    </sheetView>
  </sheetViews>
  <sheetFormatPr defaultRowHeight="14.25" x14ac:dyDescent="0.45"/>
  <cols>
    <col min="2" max="2" width="12.06640625" bestFit="1" customWidth="1"/>
    <col min="3" max="3" width="18.796875" bestFit="1" customWidth="1"/>
    <col min="5" max="5" width="12.06640625" bestFit="1" customWidth="1"/>
    <col min="6" max="6" width="18.796875" bestFit="1" customWidth="1"/>
    <col min="8" max="8" width="12.06640625" bestFit="1" customWidth="1"/>
    <col min="9" max="9" width="18.796875" bestFit="1" customWidth="1"/>
  </cols>
  <sheetData>
    <row r="4" spans="2:9" x14ac:dyDescent="0.45">
      <c r="B4" s="4" t="s">
        <v>108</v>
      </c>
      <c r="C4" t="s">
        <v>114</v>
      </c>
      <c r="E4" s="4" t="s">
        <v>108</v>
      </c>
      <c r="F4" t="s">
        <v>114</v>
      </c>
      <c r="H4" s="4" t="s">
        <v>108</v>
      </c>
      <c r="I4" t="s">
        <v>114</v>
      </c>
    </row>
    <row r="5" spans="2:9" x14ac:dyDescent="0.45">
      <c r="B5" s="5" t="s">
        <v>109</v>
      </c>
      <c r="C5" s="6">
        <v>249000</v>
      </c>
      <c r="E5" s="5" t="s">
        <v>115</v>
      </c>
      <c r="F5" s="6">
        <v>426000</v>
      </c>
      <c r="H5" s="5" t="s">
        <v>118</v>
      </c>
      <c r="I5" s="6">
        <v>365000</v>
      </c>
    </row>
    <row r="6" spans="2:9" x14ac:dyDescent="0.45">
      <c r="B6" s="5" t="s">
        <v>110</v>
      </c>
      <c r="C6" s="6">
        <v>295000</v>
      </c>
      <c r="E6" s="5" t="s">
        <v>116</v>
      </c>
      <c r="F6" s="6">
        <v>447000</v>
      </c>
      <c r="H6" s="5" t="s">
        <v>119</v>
      </c>
      <c r="I6" s="6">
        <v>397000</v>
      </c>
    </row>
    <row r="7" spans="2:9" x14ac:dyDescent="0.45">
      <c r="B7" s="5" t="s">
        <v>111</v>
      </c>
      <c r="C7" s="6">
        <v>370000</v>
      </c>
      <c r="E7" s="5" t="s">
        <v>117</v>
      </c>
      <c r="F7" s="6">
        <v>390000</v>
      </c>
      <c r="H7" s="5" t="s">
        <v>120</v>
      </c>
      <c r="I7" s="6">
        <v>372000</v>
      </c>
    </row>
    <row r="8" spans="2:9" x14ac:dyDescent="0.45">
      <c r="B8" s="5" t="s">
        <v>112</v>
      </c>
      <c r="C8" s="6">
        <v>349000</v>
      </c>
      <c r="E8" s="5" t="s">
        <v>113</v>
      </c>
      <c r="F8" s="6">
        <v>1263000</v>
      </c>
      <c r="H8" s="5" t="s">
        <v>121</v>
      </c>
      <c r="I8" s="6">
        <v>129000</v>
      </c>
    </row>
    <row r="9" spans="2:9" x14ac:dyDescent="0.45">
      <c r="B9" s="5" t="s">
        <v>113</v>
      </c>
      <c r="C9" s="6">
        <v>1263000</v>
      </c>
      <c r="H9" s="5" t="s">
        <v>113</v>
      </c>
      <c r="I9" s="6">
        <v>1263000</v>
      </c>
    </row>
    <row r="13" spans="2:9" x14ac:dyDescent="0.45">
      <c r="B13" s="4" t="s">
        <v>108</v>
      </c>
      <c r="C13" t="s">
        <v>114</v>
      </c>
    </row>
    <row r="14" spans="2:9" x14ac:dyDescent="0.45">
      <c r="B14" s="5" t="s">
        <v>123</v>
      </c>
      <c r="C14" s="6">
        <v>347000</v>
      </c>
    </row>
    <row r="15" spans="2:9" x14ac:dyDescent="0.45">
      <c r="B15" s="5" t="s">
        <v>122</v>
      </c>
      <c r="C15" s="6">
        <v>341000</v>
      </c>
    </row>
    <row r="16" spans="2:9" x14ac:dyDescent="0.45">
      <c r="B16" s="5" t="s">
        <v>124</v>
      </c>
      <c r="C16" s="6">
        <v>293000</v>
      </c>
    </row>
    <row r="17" spans="2:3" x14ac:dyDescent="0.45">
      <c r="B17" s="5" t="s">
        <v>107</v>
      </c>
      <c r="C17" s="6">
        <v>282000</v>
      </c>
    </row>
    <row r="18" spans="2:3" x14ac:dyDescent="0.45">
      <c r="B18" s="5" t="s">
        <v>113</v>
      </c>
      <c r="C18" s="6">
        <v>1263000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BEA1-E479-4987-9473-40459BB6A9CD}">
  <dimension ref="H2:O2"/>
  <sheetViews>
    <sheetView tabSelected="1" topLeftCell="F1" zoomScaleNormal="100" workbookViewId="0">
      <selection activeCell="AA68" sqref="AA68"/>
    </sheetView>
  </sheetViews>
  <sheetFormatPr defaultRowHeight="14.25" x14ac:dyDescent="0.45"/>
  <sheetData>
    <row r="2" spans="8:15" ht="25.5" x14ac:dyDescent="0.75">
      <c r="H2" s="5" t="s">
        <v>125</v>
      </c>
      <c r="I2" s="7"/>
      <c r="J2" s="7"/>
      <c r="K2" s="7"/>
      <c r="L2" s="7"/>
      <c r="M2" s="7"/>
      <c r="N2" s="7"/>
      <c r="O2" s="7"/>
    </row>
  </sheetData>
  <mergeCells count="1">
    <mergeCell ref="I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nikhilvelayudham07@gmail.com</dc:creator>
  <cp:lastModifiedBy>nikhilvelayudham07@gmail.com</cp:lastModifiedBy>
  <dcterms:created xsi:type="dcterms:W3CDTF">2026-06-16T13:39:36Z</dcterms:created>
  <dcterms:modified xsi:type="dcterms:W3CDTF">2026-06-17T07:29:55Z</dcterms:modified>
</cp:coreProperties>
</file>