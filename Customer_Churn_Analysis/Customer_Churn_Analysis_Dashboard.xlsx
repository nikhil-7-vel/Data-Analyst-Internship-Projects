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E:\EduSkills\Scholarx\"/>
    </mc:Choice>
  </mc:AlternateContent>
  <xr:revisionPtr revIDLastSave="0" documentId="8_{434C51E6-61A6-438E-8080-947B4AA24579}" xr6:coauthVersionLast="47" xr6:coauthVersionMax="47" xr10:uidLastSave="{00000000-0000-0000-0000-000000000000}"/>
  <bookViews>
    <workbookView xWindow="-98" yWindow="-98" windowWidth="21795" windowHeight="12975" activeTab="2" xr2:uid="{C7537337-31C6-4983-8359-CF5DB33C3DD8}"/>
  </bookViews>
  <sheets>
    <sheet name="Data_Set" sheetId="1" r:id="rId1"/>
    <sheet name="Pivot_Table" sheetId="3" r:id="rId2"/>
    <sheet name="DashBoard" sheetId="9" r:id="rId3"/>
  </sheets>
  <definedNames>
    <definedName name="_xlcn.WorksheetConnection_ChurnPredicationAnalysers.xlsxTable11" hidden="1">Table1[]</definedName>
    <definedName name="Slicer_Gender">#N/A</definedName>
    <definedName name="Slicer_Region">#N/A</definedName>
    <definedName name="Slicer_Subscription_Type">#N/A</definedName>
  </definedNames>
  <calcPr calcId="191029"/>
  <pivotCaches>
    <pivotCache cacheId="0" r:id="rId4"/>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Churn Predication Analyser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F39" i="1"/>
  <c r="J39" i="1" s="1"/>
  <c r="F40" i="1"/>
  <c r="J40" i="1" s="1"/>
  <c r="F41" i="1"/>
  <c r="J41" i="1" s="1"/>
  <c r="F42" i="1"/>
  <c r="J42" i="1" s="1"/>
  <c r="F43" i="1"/>
  <c r="J43" i="1" s="1"/>
  <c r="F44" i="1"/>
  <c r="J44" i="1" s="1"/>
  <c r="F45" i="1"/>
  <c r="J45" i="1" s="1"/>
  <c r="F46" i="1"/>
  <c r="J46" i="1" s="1"/>
  <c r="F47" i="1"/>
  <c r="J47" i="1" s="1"/>
  <c r="F48" i="1"/>
  <c r="J48" i="1" s="1"/>
  <c r="F49" i="1"/>
  <c r="J49" i="1" s="1"/>
  <c r="F50" i="1"/>
  <c r="J50" i="1" s="1"/>
  <c r="F51" i="1"/>
  <c r="J51" i="1" s="1"/>
  <c r="F23" i="1"/>
  <c r="J23" i="1" s="1"/>
  <c r="F24" i="1"/>
  <c r="J24" i="1" s="1"/>
  <c r="F25" i="1"/>
  <c r="J25" i="1" s="1"/>
  <c r="F26" i="1"/>
  <c r="J26" i="1" s="1"/>
  <c r="F27" i="1"/>
  <c r="J27" i="1" s="1"/>
  <c r="F28" i="1"/>
  <c r="J28" i="1" s="1"/>
  <c r="F29" i="1"/>
  <c r="J29" i="1" s="1"/>
  <c r="F30" i="1"/>
  <c r="J30" i="1" s="1"/>
  <c r="F31" i="1"/>
  <c r="J31" i="1" s="1"/>
  <c r="F32" i="1"/>
  <c r="J32" i="1" s="1"/>
  <c r="F33" i="1"/>
  <c r="F34" i="1"/>
  <c r="F35" i="1"/>
  <c r="J35" i="1" s="1"/>
  <c r="F36" i="1"/>
  <c r="J36" i="1" s="1"/>
  <c r="F37" i="1"/>
  <c r="J37" i="1" s="1"/>
  <c r="F38" i="1"/>
  <c r="J38" i="1" s="1"/>
  <c r="F3" i="1"/>
  <c r="J3" i="1" s="1"/>
  <c r="F4" i="1"/>
  <c r="J4" i="1" s="1"/>
  <c r="F5" i="1"/>
  <c r="J5" i="1" s="1"/>
  <c r="F6" i="1"/>
  <c r="J6" i="1" s="1"/>
  <c r="F7" i="1"/>
  <c r="J7" i="1" s="1"/>
  <c r="F8" i="1"/>
  <c r="J8" i="1" s="1"/>
  <c r="F9" i="1"/>
  <c r="J9" i="1" s="1"/>
  <c r="F10" i="1"/>
  <c r="J10" i="1" s="1"/>
  <c r="F11" i="1"/>
  <c r="J11" i="1" s="1"/>
  <c r="F12" i="1"/>
  <c r="J12" i="1" s="1"/>
  <c r="F13" i="1"/>
  <c r="J13" i="1" s="1"/>
  <c r="F14" i="1"/>
  <c r="J14" i="1" s="1"/>
  <c r="F15" i="1"/>
  <c r="J15" i="1" s="1"/>
  <c r="F16" i="1"/>
  <c r="J16" i="1" s="1"/>
  <c r="F17" i="1"/>
  <c r="J17" i="1" s="1"/>
  <c r="F18" i="1"/>
  <c r="J18" i="1" s="1"/>
  <c r="F19" i="1"/>
  <c r="J19" i="1" s="1"/>
  <c r="F20" i="1"/>
  <c r="J20" i="1" s="1"/>
  <c r="F21" i="1"/>
  <c r="J21" i="1" s="1"/>
  <c r="F22" i="1"/>
  <c r="J22" i="1" s="1"/>
  <c r="F2" i="1"/>
  <c r="J2" i="1" s="1"/>
  <c r="I33" i="1" l="1"/>
  <c r="J33" i="1"/>
  <c r="I24" i="1"/>
  <c r="I23" i="1"/>
  <c r="I34" i="1"/>
  <c r="J34" i="1"/>
  <c r="I2" i="1"/>
  <c r="I21" i="1"/>
  <c r="I50" i="1"/>
  <c r="I18" i="1"/>
  <c r="I51" i="1"/>
  <c r="I47" i="1"/>
  <c r="I13" i="1"/>
  <c r="I10" i="1"/>
  <c r="I29" i="1"/>
  <c r="I12" i="1"/>
  <c r="I30" i="1"/>
  <c r="I15" i="1"/>
  <c r="I14" i="1"/>
  <c r="I46" i="1"/>
  <c r="I45" i="1"/>
  <c r="I25" i="1"/>
  <c r="I26" i="1"/>
  <c r="I11" i="1"/>
  <c r="I43" i="1"/>
  <c r="I7" i="1"/>
  <c r="I39" i="1"/>
  <c r="I4" i="1"/>
  <c r="I19" i="1"/>
  <c r="I3" i="1"/>
  <c r="I44" i="1"/>
  <c r="I42" i="1"/>
  <c r="I28" i="1"/>
  <c r="I27" i="1"/>
  <c r="I6" i="1"/>
  <c r="I32" i="1"/>
  <c r="I16" i="1"/>
  <c r="I36" i="1"/>
  <c r="I49" i="1"/>
  <c r="I31" i="1"/>
  <c r="I8" i="1"/>
  <c r="I22" i="1"/>
  <c r="I5" i="1"/>
  <c r="I38" i="1"/>
  <c r="I37" i="1"/>
  <c r="I35" i="1"/>
  <c r="I48" i="1"/>
  <c r="I9" i="1"/>
  <c r="I41" i="1"/>
  <c r="I40" i="1"/>
  <c r="I20" i="1"/>
  <c r="I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3168BD-91E4-48E8-AE8D-0E904CF251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815F1F6-36A0-4CA1-9977-152D40D15726}" name="WorksheetConnection_Churn Predication Analysers.xlsx!Table1" type="102" refreshedVersion="8" minRefreshableVersion="5">
    <extLst>
      <ext xmlns:x15="http://schemas.microsoft.com/office/spreadsheetml/2010/11/main" uri="{DE250136-89BD-433C-8126-D09CA5730AF9}">
        <x15:connection id="Table1" autoDelete="1">
          <x15:rangePr sourceName="_xlcn.WorksheetConnection_ChurnPredicationAnalysers.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Churn].[All]}"/>
  </metadataStrings>
  <mdxMetadata count="1">
    <mdx n="0" f="s">
      <ms ns="1" c="0"/>
    </mdx>
  </mdxMetadata>
  <valueMetadata count="1">
    <bk>
      <rc t="1" v="0"/>
    </bk>
  </valueMetadata>
</metadata>
</file>

<file path=xl/sharedStrings.xml><?xml version="1.0" encoding="utf-8"?>
<sst xmlns="http://schemas.openxmlformats.org/spreadsheetml/2006/main" count="253" uniqueCount="79">
  <si>
    <t>Customer ID</t>
  </si>
  <si>
    <t>Region</t>
  </si>
  <si>
    <t>Subscription Type</t>
  </si>
  <si>
    <t>Tenure (Months)</t>
  </si>
  <si>
    <t>Monthly Charges</t>
  </si>
  <si>
    <t>Support Calls</t>
  </si>
  <si>
    <t>Churn</t>
  </si>
  <si>
    <t>Age</t>
  </si>
  <si>
    <t>Gender</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</si>
  <si>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</si>
  <si>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</si>
  <si>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</si>
  <si>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</si>
  <si>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</si>
  <si>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</si>
  <si>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</si>
  <si>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</si>
  <si>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</si>
  <si>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</si>
  <si>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</si>
  <si>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</si>
  <si>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</si>
  <si>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</si>
  <si>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</si>
  <si>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</si>
  <si>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</si>
  <si>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</si>
  <si>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</si>
  <si>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</si>
  <si>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</si>
  <si>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</si>
  <si>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</si>
  <si>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</si>
  <si>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</si>
  <si>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</si>
  <si>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</si>
  <si>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</si>
  <si>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</si>
  <si>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</si>
  <si>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</si>
  <si>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</si>
  <si>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</si>
  <si>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</si>
  <si>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</si>
  <si>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</si>
  <si>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</si>
  <si>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</si>
  <si>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</si>
  <si>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</si>
  <si>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</si>
  <si>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</si>
  <si>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</si>
  <si>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</si>
  <si>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</si>
  <si>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</si>
  <si>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</si>
  <si>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</si>
  <si>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</si>
  <si>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</si>
  <si>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Male</t>
  </si>
  <si>
    <t>Female</t>
  </si>
  <si>
    <t>North</t>
  </si>
  <si>
    <t>South</t>
  </si>
  <si>
    <t>West</t>
  </si>
  <si>
    <t>East</t>
  </si>
  <si>
    <t>Basic</t>
  </si>
  <si>
    <t>Premium</t>
  </si>
  <si>
    <t>Row Labels</t>
  </si>
  <si>
    <t>Grand Total</t>
  </si>
  <si>
    <t>Count of Customer ID</t>
  </si>
  <si>
    <t>Yes</t>
  </si>
  <si>
    <t>Tenure Group</t>
  </si>
  <si>
    <t>0-6 Months</t>
  </si>
  <si>
    <t>13+ Months</t>
  </si>
  <si>
    <t>7-12 Months</t>
  </si>
  <si>
    <t>All</t>
  </si>
  <si>
    <t>No</t>
  </si>
  <si>
    <t xml:space="preserve">  </t>
  </si>
  <si>
    <r>
      <t xml:space="preserve">                   </t>
    </r>
    <r>
      <rPr>
        <b/>
        <sz val="20"/>
        <color rgb="FF00B050"/>
        <rFont val="Calibri"/>
        <family val="2"/>
        <scheme val="minor"/>
      </rPr>
      <t>CUSTOMER CHURN ANALYSIS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</si>
</sst>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sz val="14"/>
      <color theme="1"/>
      <name val="Times New Roman"/>
      <family val="1"/>
    </font>
    <font>
      <sz val="8"/>
      <name val="Calibri"/>
      <family val="2"/>
      <scheme val="minor"/>
    </font>
    <font>
      <b/>
      <sz val="20"/>
      <color rgb="FF00B050"/>
      <name val="Calibri"/>
      <family val="2"/>
      <scheme val="minor"/>
    </font>
  </fonts>
  <fills count="3">
    <fill>
      <patternFill patternType="none"/>
    </fill>
    <fill>
      <patternFill patternType="gray125"/>
    </fill>
    <fill>
      <patternFill patternType="solid">
        <fgColor rgb="FFE5F2F5"/>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center"/>
    </xf>
    <xf numFmtId="164" fontId="1"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cellXfs>
  <cellStyles count="1">
    <cellStyle name="Normal" xfId="0" builtinId="0"/>
  </cellStyles>
  <dxfs count="12">
    <dxf>
      <font>
        <b val="0"/>
        <i val="0"/>
        <strike val="0"/>
        <condense val="0"/>
        <extend val="0"/>
        <outline val="0"/>
        <shadow val="0"/>
        <u val="none"/>
        <vertAlign val="baseline"/>
        <sz val="14"/>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numFmt numFmtId="164" formatCode="&quot;₹&quot;\ #,##0.00"/>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dxf>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dxf>
    <dxf>
      <font>
        <b val="0"/>
        <i val="0"/>
        <strike val="0"/>
        <condense val="0"/>
        <extend val="0"/>
        <outline val="0"/>
        <shadow val="0"/>
        <u val="none"/>
        <vertAlign val="baseline"/>
        <sz val="14"/>
        <color theme="1"/>
        <name val="Times New Roman"/>
        <family val="1"/>
        <scheme val="none"/>
      </font>
    </dxf>
  </dxfs>
  <tableStyles count="0" defaultTableStyle="TableStyleMedium2" defaultPivotStyle="PivotStyleLight16"/>
  <colors>
    <mruColors>
      <color rgb="FFE5F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[Customer_Churn_Analysis_Dashboard.xlsx]Pivot_Table!PivotTable6</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solidFill>
                  <a:srgbClr val="C00000"/>
                </a:solidFill>
              </a:rPr>
              <a:t>Churn by Region</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Pivot_Table!$A$12:$A$16</c:f>
              <c:strCache>
                <c:ptCount val="4"/>
                <c:pt idx="0">
                  <c:v>East</c:v>
                </c:pt>
                <c:pt idx="1">
                  <c:v>North</c:v>
                </c:pt>
                <c:pt idx="2">
                  <c:v>South</c:v>
                </c:pt>
                <c:pt idx="3">
                  <c:v>West</c:v>
                </c:pt>
              </c:strCache>
            </c:strRef>
          </c:cat>
          <c:val>
            <c:numRef>
              <c:f>Pivot_Table!$B$12:$B$16</c:f>
              <c:numCache>
                <c:formatCode>General</c:formatCode>
                <c:ptCount val="4"/>
                <c:pt idx="0">
                  <c:v>9</c:v>
                </c:pt>
                <c:pt idx="1">
                  <c:v>9</c:v>
                </c:pt>
                <c:pt idx="2">
                  <c:v>3</c:v>
                </c:pt>
                <c:pt idx="3">
                  <c:v>11</c:v>
                </c:pt>
              </c:numCache>
            </c:numRef>
          </c:val>
          <c:extLst>
            <c:ext xmlns:c16="http://schemas.microsoft.com/office/drawing/2014/chart" uri="{C3380CC4-5D6E-409C-BE32-E72D297353CC}">
              <c16:uniqueId val="{00000001-AB65-4E02-89F3-60CF342648B8}"/>
            </c:ext>
          </c:extLst>
        </c:ser>
        <c:dLbls>
          <c:showLegendKey val="0"/>
          <c:showVal val="0"/>
          <c:showCatName val="0"/>
          <c:showSerName val="0"/>
          <c:showPercent val="0"/>
          <c:showBubbleSize val="0"/>
        </c:dLbls>
        <c:gapWidth val="164"/>
        <c:overlap val="-22"/>
        <c:axId val="514575823"/>
        <c:axId val="514576303"/>
      </c:barChart>
      <c:catAx>
        <c:axId val="51457582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576303"/>
        <c:crosses val="autoZero"/>
        <c:auto val="1"/>
        <c:lblAlgn val="ctr"/>
        <c:lblOffset val="100"/>
        <c:noMultiLvlLbl val="0"/>
      </c:catAx>
      <c:valAx>
        <c:axId val="514576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57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40">
      <a:fgClr>
        <a:schemeClr val="accent6">
          <a:lumMod val="75000"/>
        </a:schemeClr>
      </a:fgClr>
      <a:bgClr>
        <a:schemeClr val="bg1"/>
      </a:bgClr>
    </a:patt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[Customer_Churn_Analysis_Dashboard.xlsx]Pivot_Table!PivotTable2</c:name>
    <c:fmtId val="3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solidFill>
                  <a:srgbClr val="C00000"/>
                </a:solidFill>
              </a:rPr>
              <a:t>Churn by Subscription Type</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Pivot_Table!$A$4:$A$6</c:f>
              <c:strCache>
                <c:ptCount val="2"/>
                <c:pt idx="0">
                  <c:v>Basic</c:v>
                </c:pt>
                <c:pt idx="1">
                  <c:v>Premium</c:v>
                </c:pt>
              </c:strCache>
            </c:strRef>
          </c:cat>
          <c:val>
            <c:numRef>
              <c:f>Pivot_Table!$B$4:$B$6</c:f>
              <c:numCache>
                <c:formatCode>General</c:formatCode>
                <c:ptCount val="2"/>
                <c:pt idx="0">
                  <c:v>13</c:v>
                </c:pt>
                <c:pt idx="1">
                  <c:v>19</c:v>
                </c:pt>
              </c:numCache>
            </c:numRef>
          </c:val>
          <c:extLst>
            <c:ext xmlns:c16="http://schemas.microsoft.com/office/drawing/2014/chart" uri="{C3380CC4-5D6E-409C-BE32-E72D297353CC}">
              <c16:uniqueId val="{00000000-8528-4F06-B3A1-235A61AF3F7D}"/>
            </c:ext>
          </c:extLst>
        </c:ser>
        <c:dLbls>
          <c:showLegendKey val="0"/>
          <c:showVal val="0"/>
          <c:showCatName val="0"/>
          <c:showSerName val="0"/>
          <c:showPercent val="0"/>
          <c:showBubbleSize val="0"/>
        </c:dLbls>
        <c:gapWidth val="164"/>
        <c:overlap val="-22"/>
        <c:axId val="514627183"/>
        <c:axId val="514617103"/>
      </c:barChart>
      <c:catAx>
        <c:axId val="51462718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17103"/>
        <c:crosses val="autoZero"/>
        <c:auto val="1"/>
        <c:lblAlgn val="ctr"/>
        <c:lblOffset val="100"/>
        <c:noMultiLvlLbl val="0"/>
      </c:catAx>
      <c:valAx>
        <c:axId val="514617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2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40">
      <a:fgClr>
        <a:schemeClr val="accent6">
          <a:lumMod val="75000"/>
        </a:schemeClr>
      </a:fgClr>
      <a:bgClr>
        <a:schemeClr val="bg1"/>
      </a:bgClr>
    </a:patt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[Customer_Churn_Analysis_Dashboard.xlsx]Pivot_Table!PivotTable5</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600" b="1" i="0" u="none" strike="noStrike" baseline="0">
                <a:solidFill>
                  <a:srgbClr val="C00000"/>
                </a:solidFill>
              </a:rPr>
              <a:t>CHURN BY GENDER</a:t>
            </a:r>
            <a:endParaRPr lang="en-US" sz="1600">
              <a:solidFill>
                <a:srgbClr val="C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Pivot_Table!$J$3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657-43AC-AA93-CFA6A06E4A88}"/>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657-43AC-AA93-CFA6A06E4A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Pivot_Table!$I$4:$I$6</c:f>
              <c:strCache>
                <c:ptCount val="2"/>
                <c:pt idx="0">
                  <c:v>Female</c:v>
                </c:pt>
                <c:pt idx="1">
                  <c:v>Male</c:v>
                </c:pt>
              </c:strCache>
            </c:strRef>
          </c:cat>
          <c:val>
            <c:numRef>
              <c:f>Pivot_Table!$J$4:$J$6</c:f>
              <c:numCache>
                <c:formatCode>General</c:formatCode>
                <c:ptCount val="2"/>
                <c:pt idx="0">
                  <c:v>13</c:v>
                </c:pt>
                <c:pt idx="1">
                  <c:v>19</c:v>
                </c:pt>
              </c:numCache>
            </c:numRef>
          </c:val>
          <c:extLst>
            <c:ext xmlns:c16="http://schemas.microsoft.com/office/drawing/2014/chart" uri="{C3380CC4-5D6E-409C-BE32-E72D297353CC}">
              <c16:uniqueId val="{00000004-6657-43AC-AA93-CFA6A06E4A88}"/>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40">
      <a:fgClr>
        <a:schemeClr val="accent6">
          <a:lumMod val="75000"/>
        </a:schemeClr>
      </a:fgClr>
      <a:bgClr>
        <a:schemeClr val="bg1"/>
      </a:bgClr>
    </a:patt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r>
              <a:rPr lang="en-IN" b="1">
                <a:solidFill>
                  <a:srgbClr val="C00000"/>
                </a:solidFill>
              </a:rPr>
              <a:t>Churn by Tenure Group</a:t>
            </a:r>
            <a:endParaRPr lang="en-IN">
              <a:solidFill>
                <a:srgbClr val="C00000"/>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US"/>
          </a:p>
        </c:rich>
      </c:tx>
      <c:layout>
        <c:manualLayout>
          <c:xMode val="edge"/>
          <c:yMode val="edge"/>
          <c:x val="0.1888538472578625"/>
          <c:y val="0.21847247227345049"/>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Lit>
              <c:ptCount val="3"/>
              <c:pt idx="0">
                <c:v>0-6 Months</c:v>
              </c:pt>
              <c:pt idx="1">
                <c:v>13+ Months</c:v>
              </c:pt>
              <c:pt idx="2">
                <c:v>7-12 Months</c:v>
              </c:pt>
            </c:strLit>
          </c:cat>
          <c:val>
            <c:numLit>
              <c:formatCode>General</c:formatCode>
              <c:ptCount val="3"/>
              <c:pt idx="0">
                <c:v>18</c:v>
              </c:pt>
              <c:pt idx="1">
                <c:v>23</c:v>
              </c:pt>
              <c:pt idx="2">
                <c:v>9</c:v>
              </c:pt>
            </c:numLit>
          </c:val>
          <c:extLst>
            <c:ext xmlns:c16="http://schemas.microsoft.com/office/drawing/2014/chart" uri="{C3380CC4-5D6E-409C-BE32-E72D297353CC}">
              <c16:uniqueId val="{00000000-4CF9-4C1E-807A-2DD97C28E6AB}"/>
            </c:ext>
          </c:extLst>
        </c:ser>
        <c:dLbls>
          <c:showLegendKey val="0"/>
          <c:showVal val="0"/>
          <c:showCatName val="0"/>
          <c:showSerName val="0"/>
          <c:showPercent val="0"/>
          <c:showBubbleSize val="0"/>
        </c:dLbls>
        <c:gapWidth val="164"/>
        <c:overlap val="-22"/>
        <c:axId val="514596943"/>
        <c:axId val="514599343"/>
      </c:barChart>
      <c:catAx>
        <c:axId val="51459694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599343"/>
        <c:crosses val="autoZero"/>
        <c:auto val="1"/>
        <c:lblAlgn val="ctr"/>
        <c:lblOffset val="100"/>
        <c:noMultiLvlLbl val="0"/>
      </c:catAx>
      <c:valAx>
        <c:axId val="51459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59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40">
      <a:fgClr>
        <a:schemeClr val="accent6">
          <a:lumMod val="75000"/>
        </a:schemeClr>
      </a:fgClr>
      <a:bgClr>
        <a:schemeClr val="bg1"/>
      </a:bgClr>
    </a:patt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600075</xdr:colOff>
      <xdr:row>13</xdr:row>
      <xdr:rowOff>166688</xdr:rowOff>
    </xdr:from>
    <xdr:to>
      <xdr:col>4</xdr:col>
      <xdr:colOff>957263</xdr:colOff>
      <xdr:row>27</xdr:row>
      <xdr:rowOff>157163</xdr:rowOff>
    </xdr:to>
    <mc:AlternateContent xmlns:mc="http://schemas.openxmlformats.org/markup-compatibility/2006">
      <mc:Choice xmlns:a14="http://schemas.microsoft.com/office/drawing/2010/main" Requires="a14">
        <xdr:graphicFrame macro="">
          <xdr:nvGraphicFramePr>
            <xdr:cNvPr id="2" name="Subscription Type">
              <a:extLst>
                <a:ext uri="{FF2B5EF4-FFF2-40B4-BE49-F238E27FC236}">
                  <a16:creationId xmlns:a16="http://schemas.microsoft.com/office/drawing/2014/main" id="{878E67EE-B380-4EA2-81B2-B32B17779A8F}"/>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3079127" y="2611722"/>
              <a:ext cx="1828460" cy="2550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180975</xdr:colOff>
      <xdr:row>14</xdr:row>
      <xdr:rowOff>4762</xdr:rowOff>
    </xdr:from>
    <xdr:to>
      <xdr:col>8</xdr:col>
      <xdr:colOff>66675</xdr:colOff>
      <xdr:row>27</xdr:row>
      <xdr:rowOff>176212</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EC7EB8D-118A-46FD-A88B-20E80268A4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02571" y="2632641"/>
              <a:ext cx="1824718" cy="2548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414337</xdr:colOff>
      <xdr:row>13</xdr:row>
      <xdr:rowOff>157162</xdr:rowOff>
    </xdr:from>
    <xdr:to>
      <xdr:col>12</xdr:col>
      <xdr:colOff>300037</xdr:colOff>
      <xdr:row>27</xdr:row>
      <xdr:rowOff>147637</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041AAEBA-497C-441B-8208-70CD5EB906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421291" y="2602196"/>
              <a:ext cx="1824717" cy="2550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xdr:colOff>
      <xdr:row>8</xdr:row>
      <xdr:rowOff>85725</xdr:rowOff>
    </xdr:from>
    <xdr:to>
      <xdr:col>4</xdr:col>
      <xdr:colOff>500063</xdr:colOff>
      <xdr:row>12</xdr:row>
      <xdr:rowOff>61913</xdr:rowOff>
    </xdr:to>
    <xdr:sp macro="" textlink="">
      <xdr:nvSpPr>
        <xdr:cNvPr id="7" name="Rectangle 6">
          <a:extLst>
            <a:ext uri="{FF2B5EF4-FFF2-40B4-BE49-F238E27FC236}">
              <a16:creationId xmlns:a16="http://schemas.microsoft.com/office/drawing/2014/main" id="{F920B8C4-6946-45FC-2581-7B4ACE152289}"/>
            </a:ext>
          </a:extLst>
        </xdr:cNvPr>
        <xdr:cNvSpPr/>
      </xdr:nvSpPr>
      <xdr:spPr>
        <a:xfrm>
          <a:off x="2514600" y="1533525"/>
          <a:ext cx="1938338" cy="700088"/>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Total Customers</a:t>
          </a:r>
          <a:br>
            <a:rPr lang="en-IN" sz="1600">
              <a:solidFill>
                <a:schemeClr val="tx1"/>
              </a:solidFill>
            </a:rPr>
          </a:br>
          <a:r>
            <a:rPr lang="en-IN" sz="1600">
              <a:solidFill>
                <a:schemeClr val="tx1"/>
              </a:solidFill>
            </a:rPr>
            <a:t>50</a:t>
          </a:r>
        </a:p>
      </xdr:txBody>
    </xdr:sp>
    <xdr:clientData/>
  </xdr:twoCellAnchor>
  <xdr:twoCellAnchor>
    <xdr:from>
      <xdr:col>4</xdr:col>
      <xdr:colOff>509587</xdr:colOff>
      <xdr:row>8</xdr:row>
      <xdr:rowOff>90487</xdr:rowOff>
    </xdr:from>
    <xdr:to>
      <xdr:col>6</xdr:col>
      <xdr:colOff>328612</xdr:colOff>
      <xdr:row>12</xdr:row>
      <xdr:rowOff>66675</xdr:rowOff>
    </xdr:to>
    <xdr:sp macro="" textlink="">
      <xdr:nvSpPr>
        <xdr:cNvPr id="8" name="Rectangle 7">
          <a:extLst>
            <a:ext uri="{FF2B5EF4-FFF2-40B4-BE49-F238E27FC236}">
              <a16:creationId xmlns:a16="http://schemas.microsoft.com/office/drawing/2014/main" id="{07DEA702-0825-47A6-B962-EDEDF8DBB212}"/>
            </a:ext>
          </a:extLst>
        </xdr:cNvPr>
        <xdr:cNvSpPr/>
      </xdr:nvSpPr>
      <xdr:spPr>
        <a:xfrm>
          <a:off x="4462462" y="1538287"/>
          <a:ext cx="1938338" cy="700088"/>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Churned Customers</a:t>
          </a:r>
          <a:br>
            <a:rPr lang="en-IN" sz="1600">
              <a:solidFill>
                <a:schemeClr val="tx1"/>
              </a:solidFill>
            </a:rPr>
          </a:br>
          <a:r>
            <a:rPr lang="en-IN" sz="1600">
              <a:solidFill>
                <a:schemeClr val="tx1"/>
              </a:solidFill>
            </a:rPr>
            <a:t>32</a:t>
          </a:r>
        </a:p>
        <a:p>
          <a:pPr algn="l"/>
          <a:endParaRPr lang="en-IN" sz="1600"/>
        </a:p>
      </xdr:txBody>
    </xdr:sp>
    <xdr:clientData/>
  </xdr:twoCellAnchor>
  <xdr:twoCellAnchor>
    <xdr:from>
      <xdr:col>6</xdr:col>
      <xdr:colOff>333375</xdr:colOff>
      <xdr:row>8</xdr:row>
      <xdr:rowOff>90488</xdr:rowOff>
    </xdr:from>
    <xdr:to>
      <xdr:col>9</xdr:col>
      <xdr:colOff>328613</xdr:colOff>
      <xdr:row>12</xdr:row>
      <xdr:rowOff>66676</xdr:rowOff>
    </xdr:to>
    <xdr:sp macro="" textlink="">
      <xdr:nvSpPr>
        <xdr:cNvPr id="9" name="Rectangle 8">
          <a:extLst>
            <a:ext uri="{FF2B5EF4-FFF2-40B4-BE49-F238E27FC236}">
              <a16:creationId xmlns:a16="http://schemas.microsoft.com/office/drawing/2014/main" id="{DABCACCB-0116-4915-B389-0611D0B80303}"/>
            </a:ext>
          </a:extLst>
        </xdr:cNvPr>
        <xdr:cNvSpPr/>
      </xdr:nvSpPr>
      <xdr:spPr>
        <a:xfrm>
          <a:off x="6405563" y="1538288"/>
          <a:ext cx="1938338" cy="700088"/>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Active Customers</a:t>
          </a:r>
          <a:br>
            <a:rPr lang="en-IN" sz="1600">
              <a:solidFill>
                <a:schemeClr val="tx1"/>
              </a:solidFill>
            </a:rPr>
          </a:br>
          <a:r>
            <a:rPr lang="en-IN" sz="1600">
              <a:solidFill>
                <a:schemeClr val="tx1"/>
              </a:solidFill>
            </a:rPr>
            <a:t>18</a:t>
          </a:r>
        </a:p>
      </xdr:txBody>
    </xdr:sp>
    <xdr:clientData/>
  </xdr:twoCellAnchor>
  <xdr:twoCellAnchor>
    <xdr:from>
      <xdr:col>9</xdr:col>
      <xdr:colOff>338137</xdr:colOff>
      <xdr:row>8</xdr:row>
      <xdr:rowOff>90488</xdr:rowOff>
    </xdr:from>
    <xdr:to>
      <xdr:col>12</xdr:col>
      <xdr:colOff>333375</xdr:colOff>
      <xdr:row>12</xdr:row>
      <xdr:rowOff>66676</xdr:rowOff>
    </xdr:to>
    <xdr:sp macro="" textlink="">
      <xdr:nvSpPr>
        <xdr:cNvPr id="10" name="Rectangle 9">
          <a:extLst>
            <a:ext uri="{FF2B5EF4-FFF2-40B4-BE49-F238E27FC236}">
              <a16:creationId xmlns:a16="http://schemas.microsoft.com/office/drawing/2014/main" id="{55D677F3-EBE6-4B9A-9C9C-C39FA69BE73D}"/>
            </a:ext>
          </a:extLst>
        </xdr:cNvPr>
        <xdr:cNvSpPr/>
      </xdr:nvSpPr>
      <xdr:spPr>
        <a:xfrm>
          <a:off x="8353425" y="1538288"/>
          <a:ext cx="1938338" cy="700088"/>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Churn Rate</a:t>
          </a:r>
          <a:br>
            <a:rPr lang="en-IN" sz="1600">
              <a:solidFill>
                <a:schemeClr val="tx1"/>
              </a:solidFill>
            </a:rPr>
          </a:br>
          <a:r>
            <a:rPr lang="en-IN" sz="1600">
              <a:solidFill>
                <a:schemeClr val="tx1"/>
              </a:solidFill>
            </a:rPr>
            <a:t>64 %</a:t>
          </a:r>
        </a:p>
      </xdr:txBody>
    </xdr:sp>
    <xdr:clientData/>
  </xdr:twoCellAnchor>
  <xdr:twoCellAnchor>
    <xdr:from>
      <xdr:col>3</xdr:col>
      <xdr:colOff>0</xdr:colOff>
      <xdr:row>29</xdr:row>
      <xdr:rowOff>0</xdr:rowOff>
    </xdr:from>
    <xdr:to>
      <xdr:col>6</xdr:col>
      <xdr:colOff>235744</xdr:colOff>
      <xdr:row>41</xdr:row>
      <xdr:rowOff>0</xdr:rowOff>
    </xdr:to>
    <xdr:graphicFrame macro="">
      <xdr:nvGraphicFramePr>
        <xdr:cNvPr id="11" name="Chart 10">
          <a:extLst>
            <a:ext uri="{FF2B5EF4-FFF2-40B4-BE49-F238E27FC236}">
              <a16:creationId xmlns:a16="http://schemas.microsoft.com/office/drawing/2014/main" id="{DC7BED79-5563-4D9E-90D5-158B24B45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190500</xdr:colOff>
      <xdr:row>29</xdr:row>
      <xdr:rowOff>9525</xdr:rowOff>
    </xdr:from>
    <xdr:to>
      <xdr:col>14</xdr:col>
      <xdr:colOff>481013</xdr:colOff>
      <xdr:row>40</xdr:row>
      <xdr:rowOff>166688</xdr:rowOff>
    </xdr:to>
    <xdr:graphicFrame macro="">
      <xdr:nvGraphicFramePr>
        <xdr:cNvPr id="12" name="Chart 11">
          <a:extLst>
            <a:ext uri="{FF2B5EF4-FFF2-40B4-BE49-F238E27FC236}">
              <a16:creationId xmlns:a16="http://schemas.microsoft.com/office/drawing/2014/main" id="{1F383528-1481-44CB-9F5F-AA239F78F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1171576</xdr:colOff>
      <xdr:row>42</xdr:row>
      <xdr:rowOff>171450</xdr:rowOff>
    </xdr:from>
    <xdr:to>
      <xdr:col>6</xdr:col>
      <xdr:colOff>233872</xdr:colOff>
      <xdr:row>57</xdr:row>
      <xdr:rowOff>52387</xdr:rowOff>
    </xdr:to>
    <xdr:graphicFrame macro="">
      <xdr:nvGraphicFramePr>
        <xdr:cNvPr id="13" name="Chart 12">
          <a:extLst>
            <a:ext uri="{FF2B5EF4-FFF2-40B4-BE49-F238E27FC236}">
              <a16:creationId xmlns:a16="http://schemas.microsoft.com/office/drawing/2014/main" id="{3EECE37A-A3B9-4001-9188-9D3AB2D95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209550</xdr:colOff>
      <xdr:row>43</xdr:row>
      <xdr:rowOff>0</xdr:rowOff>
    </xdr:from>
    <xdr:to>
      <xdr:col>14</xdr:col>
      <xdr:colOff>480502</xdr:colOff>
      <xdr:row>57</xdr:row>
      <xdr:rowOff>85725</xdr:rowOff>
    </xdr:to>
    <xdr:graphicFrame macro="">
      <xdr:nvGraphicFramePr>
        <xdr:cNvPr id="14" name="Chart 13">
          <a:extLst>
            <a:ext uri="{FF2B5EF4-FFF2-40B4-BE49-F238E27FC236}">
              <a16:creationId xmlns:a16="http://schemas.microsoft.com/office/drawing/2014/main" id="{E74C063F-DEB1-4F70-B413-7307A6942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8504</xdr:colOff>
      <xdr:row>61</xdr:row>
      <xdr:rowOff>0</xdr:rowOff>
    </xdr:from>
    <xdr:to>
      <xdr:col>19</xdr:col>
      <xdr:colOff>8504</xdr:colOff>
      <xdr:row>76</xdr:row>
      <xdr:rowOff>4253</xdr:rowOff>
    </xdr:to>
    <xdr:sp macro="" textlink="">
      <xdr:nvSpPr>
        <xdr:cNvPr id="15" name="TextBox 14">
          <a:extLst>
            <a:ext uri="{FF2B5EF4-FFF2-40B4-BE49-F238E27FC236}">
              <a16:creationId xmlns:a16="http://schemas.microsoft.com/office/drawing/2014/main" id="{7A6D35C7-1E15-4A49-7242-8599BDF862AF}"/>
            </a:ext>
          </a:extLst>
        </xdr:cNvPr>
        <xdr:cNvSpPr txBox="1"/>
      </xdr:nvSpPr>
      <xdr:spPr>
        <a:xfrm>
          <a:off x="11247154" y="11221641"/>
          <a:ext cx="3231696" cy="2746942"/>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C00000"/>
              </a:solidFill>
            </a:rPr>
            <a:t>Dashboard Insights</a:t>
          </a:r>
          <a:br>
            <a:rPr lang="en-IN" sz="1600"/>
          </a:br>
          <a:r>
            <a:rPr lang="en-IN" sz="1400">
              <a:solidFill>
                <a:srgbClr val="00B050"/>
              </a:solidFill>
            </a:rPr>
            <a:t>Total Customers: 50</a:t>
          </a:r>
          <a:br>
            <a:rPr lang="en-IN" sz="1400">
              <a:solidFill>
                <a:srgbClr val="00B050"/>
              </a:solidFill>
            </a:rPr>
          </a:br>
          <a:r>
            <a:rPr lang="en-IN" sz="1400">
              <a:solidFill>
                <a:srgbClr val="00B050"/>
              </a:solidFill>
            </a:rPr>
            <a:t>• Churned Customers: 32</a:t>
          </a:r>
          <a:br>
            <a:rPr lang="en-IN" sz="1400">
              <a:solidFill>
                <a:srgbClr val="00B050"/>
              </a:solidFill>
            </a:rPr>
          </a:br>
          <a:r>
            <a:rPr lang="en-IN" sz="1400">
              <a:solidFill>
                <a:srgbClr val="00B050"/>
              </a:solidFill>
            </a:rPr>
            <a:t>• Churn Rate: 64%</a:t>
          </a:r>
          <a:br>
            <a:rPr lang="en-IN" sz="1400">
              <a:solidFill>
                <a:srgbClr val="00B050"/>
              </a:solidFill>
            </a:rPr>
          </a:br>
          <a:r>
            <a:rPr lang="en-IN" sz="1400">
              <a:solidFill>
                <a:srgbClr val="00B050"/>
              </a:solidFill>
            </a:rPr>
            <a:t>• Premium customers have higher churn than Basic customers.</a:t>
          </a:r>
          <a:br>
            <a:rPr lang="en-IN" sz="1400">
              <a:solidFill>
                <a:srgbClr val="00B050"/>
              </a:solidFill>
            </a:rPr>
          </a:br>
          <a:r>
            <a:rPr lang="en-IN" sz="1400">
              <a:solidFill>
                <a:srgbClr val="00B050"/>
              </a:solidFill>
            </a:rPr>
            <a:t>• West region shows the highest churn count.</a:t>
          </a:r>
          <a:br>
            <a:rPr lang="en-IN" sz="1400">
              <a:solidFill>
                <a:srgbClr val="00B050"/>
              </a:solidFill>
            </a:rPr>
          </a:br>
          <a:r>
            <a:rPr lang="en-IN" sz="1400">
              <a:solidFill>
                <a:srgbClr val="00B050"/>
              </a:solidFill>
            </a:rPr>
            <a:t>• Customers with shorter tenure are more likely to churn.</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refreshedDate="46187.464768981481" createdVersion="8" refreshedVersion="8" minRefreshableVersion="3" recordCount="50" xr:uid="{63AA3D2B-08B0-4362-BC0D-9D770BC6922F}">
  <cacheSource type="worksheet">
    <worksheetSource name="Table1"/>
  </cacheSource>
  <cacheFields count="9">
    <cacheField name="Customer ID" numFmtId="0">
      <sharedItems/>
    </cacheField>
    <cacheField name="Age" numFmtId="0">
      <sharedItems containsSemiMixedTypes="0" containsString="0" containsNumber="1" containsInteger="1" minValue="19" maxValue="60"/>
    </cacheField>
    <cacheField name="Gender" numFmtId="0">
      <sharedItems count="2">
        <s v="Male"/>
        <s v="Female"/>
      </sharedItems>
    </cacheField>
    <cacheField name="Region" numFmtId="0">
      <sharedItems count="4">
        <s v="North"/>
        <s v="West"/>
        <s v="East"/>
        <s v="South"/>
      </sharedItems>
    </cacheField>
    <cacheField name="Subscription Type" numFmtId="0">
      <sharedItems count="2">
        <s v="Basic"/>
        <s v="Premium"/>
      </sharedItems>
    </cacheField>
    <cacheField name="Tenure (Months)" numFmtId="0">
      <sharedItems containsSemiMixedTypes="0" containsString="0" containsNumber="1" containsInteger="1" minValue="1" maxValue="24" count="20">
        <n v="13"/>
        <n v="15"/>
        <n v="1"/>
        <n v="21"/>
        <n v="10"/>
        <n v="4"/>
        <n v="3"/>
        <n v="24"/>
        <n v="5"/>
        <n v="16"/>
        <n v="8"/>
        <n v="11"/>
        <n v="6"/>
        <n v="9"/>
        <n v="7"/>
        <n v="19"/>
        <n v="18"/>
        <n v="12"/>
        <n v="22"/>
        <n v="14"/>
      </sharedItems>
    </cacheField>
    <cacheField name="Monthly Charges" numFmtId="164">
      <sharedItems containsSemiMixedTypes="0" containsString="0" containsNumber="1" containsInteger="1" minValue="599" maxValue="1299"/>
    </cacheField>
    <cacheField name="Support Calls" numFmtId="0">
      <sharedItems containsSemiMixedTypes="0" containsString="0" containsNumber="1" containsInteger="1" minValue="0" maxValue="6"/>
    </cacheField>
    <cacheField name="Churn" numFmtId="0">
      <sharedItems count="2">
        <s v="Yes"/>
        <s v="No"/>
      </sharedItems>
    </cacheField>
  </cacheFields>
  <extLst>
    <ext xmlns:x14="http://schemas.microsoft.com/office/spreadsheetml/2009/9/main" uri="{725AE2AE-9491-48be-B2B4-4EB974FC3084}">
      <x14:pivotCacheDefinition pivotCacheId="8747670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refreshedDate="46187.491098611114" backgroundQuery="1" createdVersion="8" refreshedVersion="8" minRefreshableVersion="3" recordCount="0" supportSubquery="1" supportAdvancedDrill="1" xr:uid="{0BEF98AC-82BA-4095-AD37-539F99CD3552}">
  <cacheSource type="external" connectionId="1"/>
  <cacheFields count="3">
    <cacheField name="[Table1].[Tenure Group].[Tenure Group]" caption="Tenure Group" numFmtId="0" hierarchy="9" level="1">
      <sharedItems count="3">
        <s v="0-6 Months"/>
        <s v="13+ Months"/>
        <s v="7-12 Months"/>
      </sharedItems>
    </cacheField>
    <cacheField name="[Measures].[Count of Customer ID]" caption="Count of Customer ID" numFmtId="0" hierarchy="12" level="32767"/>
    <cacheField name="[Table1].[Churn].[Churn]" caption="Churn" numFmtId="0" hierarchy="8" level="1">
      <sharedItems containsSemiMixedTypes="0" containsNonDate="0" containsString="0"/>
    </cacheField>
  </cacheFields>
  <cacheHierarchies count="13">
    <cacheHierarchy uniqueName="[Table1].[Customer ID]" caption="Customer ID" attribute="1" defaultMemberUniqueName="[Table1].[Customer ID].[All]" allUniqueName="[Table1].[Customer 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ubscription Type]" caption="Subscription Type" attribute="1" defaultMemberUniqueName="[Table1].[Subscription Type].[All]" allUniqueName="[Table1].[Subscription Type].[All]" dimensionUniqueName="[Table1]" displayFolder="" count="0" memberValueDatatype="130" unbalanced="0"/>
    <cacheHierarchy uniqueName="[Table1].[Tenure (Months)]" caption="Tenure (Months)" attribute="1" defaultMemberUniqueName="[Table1].[Tenure (Months)].[All]" allUniqueName="[Table1].[Tenure (Months)].[All]" dimensionUniqueName="[Table1]" displayFolder="" count="0" memberValueDatatype="20" unbalanced="0"/>
    <cacheHierarchy uniqueName="[Table1].[Monthly Charges]" caption="Monthly Charges" attribute="1" defaultMemberUniqueName="[Table1].[Monthly Charges].[All]" allUniqueName="[Table1].[Monthly Charges].[All]" dimensionUniqueName="[Table1]" displayFolder="" count="0" memberValueDatatype="20" unbalanced="0"/>
    <cacheHierarchy uniqueName="[Table1].[Support Calls]" caption="Support Calls" attribute="1" defaultMemberUniqueName="[Table1].[Support Calls].[All]" allUniqueName="[Table1].[Support Calls].[All]" dimensionUniqueName="[Table1]" displayFolder="" count="0" memberValueDatatype="20" unbalanced="0"/>
    <cacheHierarchy uniqueName="[Table1].[Churn]" caption="Churn" attribute="1" defaultMemberUniqueName="[Table1].[Churn].[All]" allUniqueName="[Table1].[Churn].[All]" dimensionUniqueName="[Table1]" displayFolder="" count="2" memberValueDatatype="130" unbalanced="0">
      <fieldsUsage count="2">
        <fieldUsage x="-1"/>
        <fieldUsage x="2"/>
      </fieldsUsage>
    </cacheHierarchy>
    <cacheHierarchy uniqueName="[Table1].[Tenure Group]" caption="Tenure Group" attribute="1" defaultMemberUniqueName="[Table1].[Tenure Group].[All]" allUniqueName="[Table1].[Tenure Group].[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C001"/>
    <n v="34"/>
    <x v="0"/>
    <x v="0"/>
    <x v="0"/>
    <x v="0"/>
    <n v="599"/>
    <n v="4"/>
    <x v="0"/>
  </r>
  <r>
    <s v="C002"/>
    <n v="52"/>
    <x v="1"/>
    <x v="1"/>
    <x v="1"/>
    <x v="1"/>
    <n v="1299"/>
    <n v="4"/>
    <x v="0"/>
  </r>
  <r>
    <s v="C003"/>
    <n v="34"/>
    <x v="0"/>
    <x v="0"/>
    <x v="0"/>
    <x v="0"/>
    <n v="599"/>
    <n v="3"/>
    <x v="1"/>
  </r>
  <r>
    <s v="C004"/>
    <n v="20"/>
    <x v="0"/>
    <x v="2"/>
    <x v="0"/>
    <x v="2"/>
    <n v="599"/>
    <n v="2"/>
    <x v="0"/>
  </r>
  <r>
    <s v="C005"/>
    <n v="56"/>
    <x v="1"/>
    <x v="3"/>
    <x v="1"/>
    <x v="3"/>
    <n v="1299"/>
    <n v="0"/>
    <x v="1"/>
  </r>
  <r>
    <s v="C006"/>
    <n v="23"/>
    <x v="0"/>
    <x v="3"/>
    <x v="1"/>
    <x v="4"/>
    <n v="1299"/>
    <n v="3"/>
    <x v="1"/>
  </r>
  <r>
    <s v="C007"/>
    <n v="58"/>
    <x v="0"/>
    <x v="3"/>
    <x v="1"/>
    <x v="1"/>
    <n v="1299"/>
    <n v="5"/>
    <x v="0"/>
  </r>
  <r>
    <s v="C008"/>
    <n v="28"/>
    <x v="0"/>
    <x v="0"/>
    <x v="1"/>
    <x v="4"/>
    <n v="1299"/>
    <n v="6"/>
    <x v="0"/>
  </r>
  <r>
    <s v="C009"/>
    <n v="55"/>
    <x v="1"/>
    <x v="0"/>
    <x v="1"/>
    <x v="5"/>
    <n v="1299"/>
    <n v="4"/>
    <x v="0"/>
  </r>
  <r>
    <s v="C010"/>
    <n v="60"/>
    <x v="1"/>
    <x v="1"/>
    <x v="0"/>
    <x v="6"/>
    <n v="599"/>
    <n v="4"/>
    <x v="0"/>
  </r>
  <r>
    <s v="C011"/>
    <n v="50"/>
    <x v="0"/>
    <x v="2"/>
    <x v="0"/>
    <x v="7"/>
    <n v="599"/>
    <n v="6"/>
    <x v="0"/>
  </r>
  <r>
    <s v="C012"/>
    <n v="37"/>
    <x v="1"/>
    <x v="0"/>
    <x v="0"/>
    <x v="8"/>
    <n v="599"/>
    <n v="6"/>
    <x v="0"/>
  </r>
  <r>
    <s v="C013"/>
    <n v="52"/>
    <x v="0"/>
    <x v="3"/>
    <x v="0"/>
    <x v="9"/>
    <n v="599"/>
    <n v="0"/>
    <x v="1"/>
  </r>
  <r>
    <s v="C014"/>
    <n v="48"/>
    <x v="1"/>
    <x v="3"/>
    <x v="0"/>
    <x v="8"/>
    <n v="599"/>
    <n v="3"/>
    <x v="1"/>
  </r>
  <r>
    <s v="C015"/>
    <n v="51"/>
    <x v="0"/>
    <x v="1"/>
    <x v="1"/>
    <x v="1"/>
    <n v="1299"/>
    <n v="6"/>
    <x v="0"/>
  </r>
  <r>
    <s v="C016"/>
    <n v="40"/>
    <x v="0"/>
    <x v="1"/>
    <x v="1"/>
    <x v="9"/>
    <n v="1299"/>
    <n v="1"/>
    <x v="1"/>
  </r>
  <r>
    <s v="C017"/>
    <n v="51"/>
    <x v="1"/>
    <x v="1"/>
    <x v="1"/>
    <x v="3"/>
    <n v="1299"/>
    <n v="1"/>
    <x v="1"/>
  </r>
  <r>
    <s v="C018"/>
    <n v="23"/>
    <x v="0"/>
    <x v="0"/>
    <x v="1"/>
    <x v="10"/>
    <n v="1299"/>
    <n v="5"/>
    <x v="0"/>
  </r>
  <r>
    <s v="C019"/>
    <n v="56"/>
    <x v="1"/>
    <x v="0"/>
    <x v="1"/>
    <x v="9"/>
    <n v="1299"/>
    <n v="6"/>
    <x v="0"/>
  </r>
  <r>
    <s v="C020"/>
    <n v="41"/>
    <x v="1"/>
    <x v="3"/>
    <x v="1"/>
    <x v="3"/>
    <n v="1299"/>
    <n v="0"/>
    <x v="1"/>
  </r>
  <r>
    <s v="C021"/>
    <n v="33"/>
    <x v="0"/>
    <x v="1"/>
    <x v="1"/>
    <x v="3"/>
    <n v="1299"/>
    <n v="3"/>
    <x v="1"/>
  </r>
  <r>
    <s v="C022"/>
    <n v="59"/>
    <x v="0"/>
    <x v="1"/>
    <x v="0"/>
    <x v="11"/>
    <n v="599"/>
    <n v="5"/>
    <x v="0"/>
  </r>
  <r>
    <s v="C023"/>
    <n v="20"/>
    <x v="1"/>
    <x v="0"/>
    <x v="0"/>
    <x v="4"/>
    <n v="599"/>
    <n v="4"/>
    <x v="0"/>
  </r>
  <r>
    <s v="C024"/>
    <n v="33"/>
    <x v="1"/>
    <x v="1"/>
    <x v="0"/>
    <x v="12"/>
    <n v="599"/>
    <n v="0"/>
    <x v="1"/>
  </r>
  <r>
    <s v="C025"/>
    <n v="24"/>
    <x v="0"/>
    <x v="1"/>
    <x v="0"/>
    <x v="2"/>
    <n v="599"/>
    <n v="6"/>
    <x v="0"/>
  </r>
  <r>
    <s v="C026"/>
    <n v="46"/>
    <x v="0"/>
    <x v="2"/>
    <x v="1"/>
    <x v="13"/>
    <n v="1299"/>
    <n v="5"/>
    <x v="0"/>
  </r>
  <r>
    <s v="C027"/>
    <n v="19"/>
    <x v="1"/>
    <x v="2"/>
    <x v="1"/>
    <x v="6"/>
    <n v="1299"/>
    <n v="1"/>
    <x v="0"/>
  </r>
  <r>
    <s v="C028"/>
    <n v="46"/>
    <x v="1"/>
    <x v="2"/>
    <x v="1"/>
    <x v="6"/>
    <n v="1299"/>
    <n v="2"/>
    <x v="0"/>
  </r>
  <r>
    <s v="C029"/>
    <n v="35"/>
    <x v="0"/>
    <x v="2"/>
    <x v="1"/>
    <x v="14"/>
    <n v="1299"/>
    <n v="3"/>
    <x v="1"/>
  </r>
  <r>
    <s v="C030"/>
    <n v="31"/>
    <x v="0"/>
    <x v="1"/>
    <x v="1"/>
    <x v="15"/>
    <n v="1299"/>
    <n v="5"/>
    <x v="0"/>
  </r>
  <r>
    <s v="C031"/>
    <n v="24"/>
    <x v="1"/>
    <x v="1"/>
    <x v="1"/>
    <x v="16"/>
    <n v="1299"/>
    <n v="1"/>
    <x v="1"/>
  </r>
  <r>
    <s v="C032"/>
    <n v="25"/>
    <x v="0"/>
    <x v="1"/>
    <x v="1"/>
    <x v="2"/>
    <n v="1299"/>
    <n v="0"/>
    <x v="0"/>
  </r>
  <r>
    <s v="C033"/>
    <n v="42"/>
    <x v="0"/>
    <x v="0"/>
    <x v="1"/>
    <x v="13"/>
    <n v="1299"/>
    <n v="5"/>
    <x v="0"/>
  </r>
  <r>
    <s v="C034"/>
    <n v="27"/>
    <x v="0"/>
    <x v="0"/>
    <x v="1"/>
    <x v="2"/>
    <n v="1299"/>
    <n v="5"/>
    <x v="0"/>
  </r>
  <r>
    <s v="C035"/>
    <n v="48"/>
    <x v="1"/>
    <x v="3"/>
    <x v="0"/>
    <x v="17"/>
    <n v="599"/>
    <n v="6"/>
    <x v="0"/>
  </r>
  <r>
    <s v="C036"/>
    <n v="45"/>
    <x v="1"/>
    <x v="1"/>
    <x v="0"/>
    <x v="4"/>
    <n v="599"/>
    <n v="0"/>
    <x v="1"/>
  </r>
  <r>
    <s v="C037"/>
    <n v="54"/>
    <x v="1"/>
    <x v="1"/>
    <x v="0"/>
    <x v="18"/>
    <n v="599"/>
    <n v="3"/>
    <x v="1"/>
  </r>
  <r>
    <s v="C038"/>
    <n v="23"/>
    <x v="1"/>
    <x v="0"/>
    <x v="0"/>
    <x v="19"/>
    <n v="599"/>
    <n v="3"/>
    <x v="1"/>
  </r>
  <r>
    <s v="C039"/>
    <n v="43"/>
    <x v="0"/>
    <x v="3"/>
    <x v="0"/>
    <x v="5"/>
    <n v="599"/>
    <n v="5"/>
    <x v="0"/>
  </r>
  <r>
    <s v="C040"/>
    <n v="48"/>
    <x v="0"/>
    <x v="2"/>
    <x v="0"/>
    <x v="3"/>
    <n v="599"/>
    <n v="5"/>
    <x v="0"/>
  </r>
  <r>
    <s v="C041"/>
    <n v="40"/>
    <x v="1"/>
    <x v="2"/>
    <x v="0"/>
    <x v="15"/>
    <n v="599"/>
    <n v="1"/>
    <x v="1"/>
  </r>
  <r>
    <s v="C042"/>
    <n v="59"/>
    <x v="0"/>
    <x v="2"/>
    <x v="0"/>
    <x v="4"/>
    <n v="599"/>
    <n v="2"/>
    <x v="1"/>
  </r>
  <r>
    <s v="C043"/>
    <n v="52"/>
    <x v="0"/>
    <x v="2"/>
    <x v="0"/>
    <x v="16"/>
    <n v="599"/>
    <n v="6"/>
    <x v="0"/>
  </r>
  <r>
    <s v="C044"/>
    <n v="55"/>
    <x v="1"/>
    <x v="2"/>
    <x v="1"/>
    <x v="0"/>
    <n v="1299"/>
    <n v="5"/>
    <x v="0"/>
  </r>
  <r>
    <s v="C045"/>
    <n v="39"/>
    <x v="1"/>
    <x v="2"/>
    <x v="1"/>
    <x v="6"/>
    <n v="1299"/>
    <n v="6"/>
    <x v="0"/>
  </r>
  <r>
    <s v="C046"/>
    <n v="27"/>
    <x v="0"/>
    <x v="1"/>
    <x v="1"/>
    <x v="3"/>
    <n v="1299"/>
    <n v="5"/>
    <x v="0"/>
  </r>
  <r>
    <s v="C047"/>
    <n v="27"/>
    <x v="1"/>
    <x v="1"/>
    <x v="1"/>
    <x v="15"/>
    <n v="1299"/>
    <n v="6"/>
    <x v="0"/>
  </r>
  <r>
    <s v="C048"/>
    <n v="44"/>
    <x v="0"/>
    <x v="1"/>
    <x v="1"/>
    <x v="5"/>
    <n v="1299"/>
    <n v="0"/>
    <x v="0"/>
  </r>
  <r>
    <s v="C049"/>
    <n v="22"/>
    <x v="1"/>
    <x v="1"/>
    <x v="0"/>
    <x v="11"/>
    <n v="599"/>
    <n v="5"/>
    <x v="0"/>
  </r>
  <r>
    <s v="C050"/>
    <n v="57"/>
    <x v="0"/>
    <x v="0"/>
    <x v="0"/>
    <x v="3"/>
    <n v="599"/>
    <n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99DE6D-5939-449D-BF98-EE6D559F564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2:B26" firstHeaderRow="1" firstDataRow="1" firstDataCol="1" rowPageCount="1" colPageCount="1"/>
  <pivotFields count="3">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s>
  <rowFields count="1">
    <field x="0"/>
  </rowFields>
  <rowItems count="4">
    <i>
      <x/>
    </i>
    <i>
      <x v="1"/>
    </i>
    <i>
      <x v="2"/>
    </i>
    <i t="grand">
      <x/>
    </i>
  </rowItems>
  <colItems count="1">
    <i/>
  </colItems>
  <pageFields count="1">
    <pageField fld="2" hier="8" name="[Table1].[Churn].[All]" cap="All"/>
  </pageFields>
  <dataFields count="1">
    <dataField name="Count of Customer ID" fld="1" subtotal="count" baseField="0" baseItem="0"/>
  </dataFields>
  <chartFormats count="2">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urn Predication Analyser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94B485-C61E-4B04-B197-6DAB335DE0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20" firstHeaderRow="1" firstDataRow="1" firstDataCol="1" rowPageCount="1" colPageCount="1"/>
  <pivotFields count="9">
    <pivotField dataField="1" showAll="0"/>
    <pivotField showAll="0"/>
    <pivotField showAll="0">
      <items count="3">
        <item x="1"/>
        <item x="0"/>
        <item t="default"/>
      </items>
    </pivotField>
    <pivotField showAll="0">
      <items count="5">
        <item x="2"/>
        <item x="0"/>
        <item x="3"/>
        <item x="1"/>
        <item t="default"/>
      </items>
    </pivotField>
    <pivotField showAll="0">
      <items count="3">
        <item x="0"/>
        <item x="1"/>
        <item t="default"/>
      </items>
    </pivotField>
    <pivotField axis="axisRow" showAll="0">
      <items count="21">
        <item x="2"/>
        <item x="6"/>
        <item x="5"/>
        <item x="8"/>
        <item x="12"/>
        <item x="14"/>
        <item x="10"/>
        <item x="13"/>
        <item x="4"/>
        <item x="11"/>
        <item x="17"/>
        <item x="0"/>
        <item x="19"/>
        <item x="1"/>
        <item x="9"/>
        <item x="16"/>
        <item x="15"/>
        <item x="3"/>
        <item x="18"/>
        <item x="7"/>
        <item t="default"/>
      </items>
    </pivotField>
    <pivotField numFmtId="164" showAll="0"/>
    <pivotField showAll="0"/>
    <pivotField axis="axisPage" showAll="0">
      <items count="3">
        <item x="1"/>
        <item x="0"/>
        <item t="default"/>
      </items>
    </pivotField>
  </pivotFields>
  <rowFields count="1">
    <field x="5"/>
  </rowFields>
  <rowItems count="17">
    <i>
      <x/>
    </i>
    <i>
      <x v="1"/>
    </i>
    <i>
      <x v="2"/>
    </i>
    <i>
      <x v="3"/>
    </i>
    <i>
      <x v="6"/>
    </i>
    <i>
      <x v="7"/>
    </i>
    <i>
      <x v="8"/>
    </i>
    <i>
      <x v="9"/>
    </i>
    <i>
      <x v="10"/>
    </i>
    <i>
      <x v="11"/>
    </i>
    <i>
      <x v="13"/>
    </i>
    <i>
      <x v="14"/>
    </i>
    <i>
      <x v="15"/>
    </i>
    <i>
      <x v="16"/>
    </i>
    <i>
      <x v="17"/>
    </i>
    <i>
      <x v="19"/>
    </i>
    <i t="grand">
      <x/>
    </i>
  </rowItems>
  <colItems count="1">
    <i/>
  </colItems>
  <pageFields count="1">
    <pageField fld="8" item="1" hier="-1"/>
  </pageField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1295DD-9F2F-4E20-97E8-904B86D737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6" firstHeaderRow="1" firstDataRow="1" firstDataCol="1" rowPageCount="1" colPageCount="1"/>
  <pivotFields count="9">
    <pivotField dataField="1" showAll="0"/>
    <pivotField showAll="0"/>
    <pivotField showAll="0">
      <items count="3">
        <item x="1"/>
        <item x="0"/>
        <item t="default"/>
      </items>
    </pivotField>
    <pivotField showAll="0">
      <items count="5">
        <item x="2"/>
        <item x="0"/>
        <item x="3"/>
        <item x="1"/>
        <item t="default"/>
      </items>
    </pivotField>
    <pivotField axis="axisRow" showAll="0">
      <items count="3">
        <item x="0"/>
        <item x="1"/>
        <item t="default"/>
      </items>
    </pivotField>
    <pivotField showAll="0"/>
    <pivotField numFmtId="164" showAll="0"/>
    <pivotField showAll="0"/>
    <pivotField axis="axisPage" showAll="0">
      <items count="3">
        <item x="1"/>
        <item x="0"/>
        <item t="default"/>
      </items>
    </pivotField>
  </pivotFields>
  <rowFields count="1">
    <field x="4"/>
  </rowFields>
  <rowItems count="3">
    <i>
      <x/>
    </i>
    <i>
      <x v="1"/>
    </i>
    <i t="grand">
      <x/>
    </i>
  </rowItems>
  <colItems count="1">
    <i/>
  </colItems>
  <pageFields count="1">
    <pageField fld="8" item="1" hier="-1"/>
  </pageFields>
  <dataFields count="1">
    <dataField name="Count of Customer ID" fld="0" subtotal="count" baseField="0" baseItem="0"/>
  </dataFields>
  <chartFormats count="2">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E4C16-91AA-463C-B574-E7FB2CE13A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J12" firstHeaderRow="1" firstDataRow="1" firstDataCol="1"/>
  <pivotFields count="9">
    <pivotField dataField="1" showAll="0"/>
    <pivotField showAll="0"/>
    <pivotField showAll="0">
      <items count="3">
        <item x="1"/>
        <item x="0"/>
        <item t="default"/>
      </items>
    </pivotField>
    <pivotField showAll="0">
      <items count="5">
        <item x="2"/>
        <item x="0"/>
        <item x="3"/>
        <item x="1"/>
        <item t="default"/>
      </items>
    </pivotField>
    <pivotField showAll="0">
      <items count="3">
        <item x="0"/>
        <item x="1"/>
        <item t="default"/>
      </items>
    </pivotField>
    <pivotField showAll="0"/>
    <pivotField numFmtId="164" showAll="0"/>
    <pivotField showAll="0"/>
    <pivotField axis="axisRow" showAll="0">
      <items count="3">
        <item x="1"/>
        <item x="0"/>
        <item t="default"/>
      </items>
    </pivotField>
  </pivotFields>
  <rowFields count="1">
    <field x="8"/>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76350A-8BA2-417B-8881-7D940AB559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B16" firstHeaderRow="1" firstDataRow="1" firstDataCol="1" rowPageCount="1" colPageCount="1"/>
  <pivotFields count="9">
    <pivotField dataField="1" showAll="0"/>
    <pivotField showAll="0"/>
    <pivotField showAll="0">
      <items count="3">
        <item x="1"/>
        <item x="0"/>
        <item t="default"/>
      </items>
    </pivotField>
    <pivotField axis="axisRow" showAll="0">
      <items count="5">
        <item x="2"/>
        <item x="0"/>
        <item x="3"/>
        <item x="1"/>
        <item t="default"/>
      </items>
    </pivotField>
    <pivotField showAll="0">
      <items count="3">
        <item x="0"/>
        <item x="1"/>
        <item t="default"/>
      </items>
    </pivotField>
    <pivotField showAll="0"/>
    <pivotField numFmtId="164" showAll="0"/>
    <pivotField showAll="0"/>
    <pivotField axis="axisPage" showAll="0">
      <items count="3">
        <item x="1"/>
        <item x="0"/>
        <item t="default"/>
      </items>
    </pivotField>
  </pivotFields>
  <rowFields count="1">
    <field x="3"/>
  </rowFields>
  <rowItems count="5">
    <i>
      <x/>
    </i>
    <i>
      <x v="1"/>
    </i>
    <i>
      <x v="2"/>
    </i>
    <i>
      <x v="3"/>
    </i>
    <i t="grand">
      <x/>
    </i>
  </rowItems>
  <colItems count="1">
    <i/>
  </colItems>
  <pageFields count="1">
    <pageField fld="8" item="1" hier="-1"/>
  </pageFields>
  <dataFields count="1">
    <dataField name="Count of Customer ID" fld="0" subtotal="count" baseField="0" baseItem="0"/>
  </dataFields>
  <chartFormats count="3">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B35906-C543-495F-813E-6F6A594272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3:J6" firstHeaderRow="1" firstDataRow="1" firstDataCol="1" rowPageCount="1" colPageCount="1"/>
  <pivotFields count="9">
    <pivotField dataField="1" showAll="0"/>
    <pivotField showAll="0"/>
    <pivotField axis="axisRow" showAll="0">
      <items count="3">
        <item x="1"/>
        <item x="0"/>
        <item t="default"/>
      </items>
    </pivotField>
    <pivotField showAll="0">
      <items count="5">
        <item x="2"/>
        <item x="0"/>
        <item x="3"/>
        <item x="1"/>
        <item t="default"/>
      </items>
    </pivotField>
    <pivotField showAll="0">
      <items count="3">
        <item x="0"/>
        <item x="1"/>
        <item t="default"/>
      </items>
    </pivotField>
    <pivotField showAll="0"/>
    <pivotField numFmtId="164" showAll="0"/>
    <pivotField showAll="0"/>
    <pivotField axis="axisPage" showAll="0">
      <items count="3">
        <item x="1"/>
        <item x="0"/>
        <item t="default"/>
      </items>
    </pivotField>
  </pivotFields>
  <rowFields count="1">
    <field x="2"/>
  </rowFields>
  <rowItems count="3">
    <i>
      <x/>
    </i>
    <i>
      <x v="1"/>
    </i>
    <i t="grand">
      <x/>
    </i>
  </rowItems>
  <colItems count="1">
    <i/>
  </colItems>
  <pageFields count="1">
    <pageField fld="8" item="1" hier="-1"/>
  </pageFields>
  <dataFields count="1">
    <dataField name="Count of Customer ID" fld="0" subtotal="count" baseField="0" baseItem="0"/>
  </dataFields>
  <chartFormats count="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2" count="1" selected="0">
            <x v="0"/>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2" count="1" selected="0">
            <x v="0"/>
          </reference>
        </references>
      </pivotArea>
    </chartFormat>
    <chartFormat chart="17"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8285E112-3DC6-44D1-8C4B-6AFA9B7C6FEC}" sourceName="Subscription Type">
  <pivotTables>
    <pivotTable tabId="3" name="PivotTable2"/>
    <pivotTable tabId="3" name="PivotTable1"/>
    <pivotTable tabId="3" name="PivotTable4"/>
    <pivotTable tabId="3" name="PivotTable5"/>
    <pivotTable tabId="3" name="PivotTable6"/>
  </pivotTables>
  <data>
    <tabular pivotCacheId="8747670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E4A57B-3D9D-41C0-B24D-41DD5E3E124B}" sourceName="Region">
  <pivotTables>
    <pivotTable tabId="3" name="PivotTable2"/>
    <pivotTable tabId="3" name="PivotTable1"/>
    <pivotTable tabId="3" name="PivotTable4"/>
    <pivotTable tabId="3" name="PivotTable5"/>
    <pivotTable tabId="3" name="PivotTable6"/>
  </pivotTables>
  <data>
    <tabular pivotCacheId="874767053">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888587E-B67B-4479-AF18-01552A224F1C}" sourceName="Gender">
  <pivotTables>
    <pivotTable tabId="3" name="PivotTable2"/>
    <pivotTable tabId="3" name="PivotTable1"/>
    <pivotTable tabId="3" name="PivotTable4"/>
    <pivotTable tabId="3" name="PivotTable5"/>
    <pivotTable tabId="3" name="PivotTable6"/>
  </pivotTables>
  <data>
    <tabular pivotCacheId="8747670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57CAAD28-9DF1-4EF6-8BF6-B2E58DFA3C08}" cache="Slicer_Subscription_Type" caption="Subscription Type" rowHeight="241300"/>
  <slicer name="Region" xr10:uid="{53C6B88F-3E5E-407C-B5C3-5FDF93B6D774}" cache="Slicer_Region" caption="Region" columnCount="2" rowHeight="241200"/>
  <slicer name="Gender" xr10:uid="{EBF49D0C-CFF1-4642-8714-EE99777A69DA}"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0C847A-D497-43A6-9B4A-F7FB8C30896F}" name="Table1" displayName="Table1" ref="A1:J51" totalsRowShown="0" headerRowDxfId="11" dataDxfId="10">
  <autoFilter ref="A1:J51" xr:uid="{890C847A-D497-43A6-9B4A-F7FB8C30896F}"/>
  <tableColumns count="10">
    <tableColumn id="1" xr3:uid="{8D9EE8EC-F345-4F7C-9770-147CF8759440}" name="Customer ID" dataDxfId="9"/>
    <tableColumn id="2" xr3:uid="{C3CF6F71-B9F1-49B3-B861-268045D9A80F}" name="Age" dataDxfId="8">
      <calculatedColumnFormula>RANDBETWEEN(18,60)</calculatedColumnFormula>
    </tableColumn>
    <tableColumn id="3" xr3:uid="{F14246A3-BFD9-4509-88F3-D197B09F18C4}" name="Gender" dataDxfId="7"/>
    <tableColumn id="4" xr3:uid="{6EA0914A-FEC2-4289-94EB-3257554087C8}" name="Region" dataDxfId="6"/>
    <tableColumn id="5" xr3:uid="{9E92068D-C356-4B59-8321-60A50801250B}" name="Subscription Type" dataDxfId="5"/>
    <tableColumn id="6" xr3:uid="{2003D947-656C-4FDB-98C8-02F9BD3AB6F2}" name="Tenure (Months)" dataDxfId="4">
      <calculatedColumnFormula>RANDBETWEEN(1,24)</calculatedColumnFormula>
    </tableColumn>
    <tableColumn id="7" xr3:uid="{3866E94F-40C7-45AD-84E6-B8CC014638B9}" name="Monthly Charges" dataDxfId="3">
      <calculatedColumnFormula>IF(E2="Basic",599,IF(E2="Standard",899,1299))</calculatedColumnFormula>
    </tableColumn>
    <tableColumn id="8" xr3:uid="{43F6B67B-7B8F-4C31-83A8-818AAA7E8D92}" name="Support Calls" dataDxfId="2">
      <calculatedColumnFormula>RANDBETWEEN(0,6)</calculatedColumnFormula>
    </tableColumn>
    <tableColumn id="9" xr3:uid="{E0612D23-7F69-4BC9-980A-8CE9CB139EF3}" name="Churn" dataDxfId="1">
      <calculatedColumnFormula>IF(OR(F2&lt;=4,H2&gt;=4),"Yes","No")</calculatedColumnFormula>
    </tableColumn>
    <tableColumn id="10" xr3:uid="{93A1F3F7-D5A1-43AB-90E8-9BEFA988F105}" name="Tenure Group" dataDxfId="0">
      <calculatedColumnFormula>IF(F2&lt;=6,"0-6 Months",IF(F2&lt;=12,"7-12 Months","13+ Months"))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73486-0D65-4A82-90F4-C866D8A782C0}">
  <dimension ref="A1:J51"/>
  <sheetViews>
    <sheetView topLeftCell="D1" workbookViewId="0">
      <selection activeCell="K48" sqref="K48"/>
    </sheetView>
  </sheetViews>
  <sheetFormatPr defaultColWidth="25.59765625" defaultRowHeight="17.649999999999999" x14ac:dyDescent="0.5"/>
  <cols>
    <col min="1" max="16384" width="25.59765625" style="1"/>
  </cols>
  <sheetData>
    <row r="1" spans="1:10" x14ac:dyDescent="0.5">
      <c r="A1" s="2" t="s">
        <v>0</v>
      </c>
      <c r="B1" s="1" t="s">
        <v>7</v>
      </c>
      <c r="C1" s="1" t="s">
        <v>8</v>
      </c>
      <c r="D1" s="1" t="s">
        <v>1</v>
      </c>
      <c r="E1" s="1" t="s">
        <v>2</v>
      </c>
      <c r="F1" s="1" t="s">
        <v>3</v>
      </c>
      <c r="G1" s="1" t="s">
        <v>4</v>
      </c>
      <c r="H1" s="1" t="s">
        <v>5</v>
      </c>
      <c r="I1" s="1" t="s">
        <v>6</v>
      </c>
      <c r="J1" s="1" t="s">
        <v>71</v>
      </c>
    </row>
    <row r="2" spans="1:10" x14ac:dyDescent="0.5">
      <c r="A2" s="2" t="s">
        <v>9</v>
      </c>
      <c r="B2" s="2">
        <f ca="1">RANDBETWEEN(18,60)</f>
        <v>32</v>
      </c>
      <c r="C2" s="2" t="s">
        <v>59</v>
      </c>
      <c r="D2" s="2" t="s">
        <v>61</v>
      </c>
      <c r="E2" s="2" t="s">
        <v>65</v>
      </c>
      <c r="F2" s="2">
        <f ca="1">RANDBETWEEN(1,24)</f>
        <v>9</v>
      </c>
      <c r="G2" s="3">
        <f>IF(E2="Basic",599,IF(E2="Standard",899,1299))</f>
        <v>599</v>
      </c>
      <c r="H2" s="2">
        <f ca="1">RANDBETWEEN(0,6)</f>
        <v>5</v>
      </c>
      <c r="I2" s="2" t="str">
        <f ca="1">IF(OR(F2&lt;=4,H2&gt;=4),"Yes","No")</f>
        <v>Yes</v>
      </c>
      <c r="J2" s="2" t="str">
        <f t="shared" ref="J2:J33" ca="1" si="0">IF(F2&lt;=6,"0-6 Months",IF(F2&lt;=12,"7-12 Months","13+ Months"))</f>
        <v>7-12 Months</v>
      </c>
    </row>
    <row r="3" spans="1:10" x14ac:dyDescent="0.5">
      <c r="A3" s="2" t="s">
        <v>10</v>
      </c>
      <c r="B3" s="2">
        <f t="shared" ref="B3:B51" ca="1" si="1">RANDBETWEEN(18,60)</f>
        <v>48</v>
      </c>
      <c r="C3" s="2" t="s">
        <v>60</v>
      </c>
      <c r="D3" s="2" t="s">
        <v>63</v>
      </c>
      <c r="E3" s="2" t="s">
        <v>66</v>
      </c>
      <c r="F3" s="2">
        <f t="shared" ref="F3:F51" ca="1" si="2">RANDBETWEEN(1,24)</f>
        <v>9</v>
      </c>
      <c r="G3" s="3">
        <f t="shared" ref="G3:G51" si="3">IF(E3="Basic",599,IF(E3="Standard",899,1299))</f>
        <v>1299</v>
      </c>
      <c r="H3" s="2">
        <f t="shared" ref="H3:H51" ca="1" si="4">RANDBETWEEN(0,6)</f>
        <v>1</v>
      </c>
      <c r="I3" s="2" t="str">
        <f t="shared" ref="I3:I51" ca="1" si="5">IF(OR(F3&lt;=4,H3&gt;=4),"Yes","No")</f>
        <v>No</v>
      </c>
      <c r="J3" s="2" t="str">
        <f t="shared" ca="1" si="0"/>
        <v>7-12 Months</v>
      </c>
    </row>
    <row r="4" spans="1:10" x14ac:dyDescent="0.5">
      <c r="A4" s="2" t="s">
        <v>11</v>
      </c>
      <c r="B4" s="2">
        <f t="shared" ca="1" si="1"/>
        <v>47</v>
      </c>
      <c r="C4" s="2" t="s">
        <v>59</v>
      </c>
      <c r="D4" s="2" t="s">
        <v>61</v>
      </c>
      <c r="E4" s="2" t="s">
        <v>65</v>
      </c>
      <c r="F4" s="2">
        <f t="shared" ca="1" si="2"/>
        <v>12</v>
      </c>
      <c r="G4" s="3">
        <f t="shared" si="3"/>
        <v>599</v>
      </c>
      <c r="H4" s="2">
        <f t="shared" ca="1" si="4"/>
        <v>2</v>
      </c>
      <c r="I4" s="2" t="str">
        <f t="shared" ca="1" si="5"/>
        <v>No</v>
      </c>
      <c r="J4" s="2" t="str">
        <f t="shared" ca="1" si="0"/>
        <v>7-12 Months</v>
      </c>
    </row>
    <row r="5" spans="1:10" x14ac:dyDescent="0.5">
      <c r="A5" s="2" t="s">
        <v>12</v>
      </c>
      <c r="B5" s="2">
        <f t="shared" ca="1" si="1"/>
        <v>25</v>
      </c>
      <c r="C5" s="2" t="s">
        <v>59</v>
      </c>
      <c r="D5" s="2" t="s">
        <v>64</v>
      </c>
      <c r="E5" s="2" t="s">
        <v>65</v>
      </c>
      <c r="F5" s="2">
        <f t="shared" ca="1" si="2"/>
        <v>7</v>
      </c>
      <c r="G5" s="3">
        <f t="shared" si="3"/>
        <v>599</v>
      </c>
      <c r="H5" s="2">
        <f t="shared" ca="1" si="4"/>
        <v>6</v>
      </c>
      <c r="I5" s="2" t="str">
        <f t="shared" ca="1" si="5"/>
        <v>Yes</v>
      </c>
      <c r="J5" s="2" t="str">
        <f t="shared" ca="1" si="0"/>
        <v>7-12 Months</v>
      </c>
    </row>
    <row r="6" spans="1:10" x14ac:dyDescent="0.5">
      <c r="A6" s="2" t="s">
        <v>13</v>
      </c>
      <c r="B6" s="2">
        <f t="shared" ca="1" si="1"/>
        <v>43</v>
      </c>
      <c r="C6" s="2" t="s">
        <v>60</v>
      </c>
      <c r="D6" s="2" t="s">
        <v>62</v>
      </c>
      <c r="E6" s="2" t="s">
        <v>66</v>
      </c>
      <c r="F6" s="2">
        <f t="shared" ca="1" si="2"/>
        <v>17</v>
      </c>
      <c r="G6" s="3">
        <f t="shared" si="3"/>
        <v>1299</v>
      </c>
      <c r="H6" s="2">
        <f t="shared" ca="1" si="4"/>
        <v>5</v>
      </c>
      <c r="I6" s="2" t="str">
        <f t="shared" ca="1" si="5"/>
        <v>Yes</v>
      </c>
      <c r="J6" s="2" t="str">
        <f t="shared" ca="1" si="0"/>
        <v>13+ Months</v>
      </c>
    </row>
    <row r="7" spans="1:10" x14ac:dyDescent="0.5">
      <c r="A7" s="2" t="s">
        <v>14</v>
      </c>
      <c r="B7" s="2">
        <f t="shared" ca="1" si="1"/>
        <v>35</v>
      </c>
      <c r="C7" s="2" t="s">
        <v>59</v>
      </c>
      <c r="D7" s="2" t="s">
        <v>62</v>
      </c>
      <c r="E7" s="2" t="s">
        <v>66</v>
      </c>
      <c r="F7" s="2">
        <f t="shared" ca="1" si="2"/>
        <v>12</v>
      </c>
      <c r="G7" s="3">
        <f t="shared" si="3"/>
        <v>1299</v>
      </c>
      <c r="H7" s="2">
        <f t="shared" ca="1" si="4"/>
        <v>6</v>
      </c>
      <c r="I7" s="2" t="str">
        <f t="shared" ca="1" si="5"/>
        <v>Yes</v>
      </c>
      <c r="J7" s="2" t="str">
        <f t="shared" ca="1" si="0"/>
        <v>7-12 Months</v>
      </c>
    </row>
    <row r="8" spans="1:10" x14ac:dyDescent="0.5">
      <c r="A8" s="2" t="s">
        <v>15</v>
      </c>
      <c r="B8" s="2">
        <f t="shared" ca="1" si="1"/>
        <v>37</v>
      </c>
      <c r="C8" s="2" t="s">
        <v>59</v>
      </c>
      <c r="D8" s="2" t="s">
        <v>62</v>
      </c>
      <c r="E8" s="2" t="s">
        <v>66</v>
      </c>
      <c r="F8" s="2">
        <f t="shared" ca="1" si="2"/>
        <v>12</v>
      </c>
      <c r="G8" s="3">
        <f t="shared" si="3"/>
        <v>1299</v>
      </c>
      <c r="H8" s="2">
        <f t="shared" ca="1" si="4"/>
        <v>1</v>
      </c>
      <c r="I8" s="2" t="str">
        <f t="shared" ca="1" si="5"/>
        <v>No</v>
      </c>
      <c r="J8" s="2" t="str">
        <f t="shared" ca="1" si="0"/>
        <v>7-12 Months</v>
      </c>
    </row>
    <row r="9" spans="1:10" x14ac:dyDescent="0.5">
      <c r="A9" s="2" t="s">
        <v>16</v>
      </c>
      <c r="B9" s="2">
        <f t="shared" ca="1" si="1"/>
        <v>20</v>
      </c>
      <c r="C9" s="2" t="s">
        <v>59</v>
      </c>
      <c r="D9" s="2" t="s">
        <v>61</v>
      </c>
      <c r="E9" s="2" t="s">
        <v>66</v>
      </c>
      <c r="F9" s="2">
        <f t="shared" ca="1" si="2"/>
        <v>15</v>
      </c>
      <c r="G9" s="3">
        <f t="shared" si="3"/>
        <v>1299</v>
      </c>
      <c r="H9" s="2">
        <f t="shared" ca="1" si="4"/>
        <v>5</v>
      </c>
      <c r="I9" s="2" t="str">
        <f t="shared" ca="1" si="5"/>
        <v>Yes</v>
      </c>
      <c r="J9" s="2" t="str">
        <f t="shared" ca="1" si="0"/>
        <v>13+ Months</v>
      </c>
    </row>
    <row r="10" spans="1:10" x14ac:dyDescent="0.5">
      <c r="A10" s="2" t="s">
        <v>17</v>
      </c>
      <c r="B10" s="2">
        <f t="shared" ca="1" si="1"/>
        <v>24</v>
      </c>
      <c r="C10" s="2" t="s">
        <v>60</v>
      </c>
      <c r="D10" s="2" t="s">
        <v>61</v>
      </c>
      <c r="E10" s="2" t="s">
        <v>66</v>
      </c>
      <c r="F10" s="2">
        <f t="shared" ca="1" si="2"/>
        <v>12</v>
      </c>
      <c r="G10" s="3">
        <f t="shared" si="3"/>
        <v>1299</v>
      </c>
      <c r="H10" s="2">
        <f t="shared" ca="1" si="4"/>
        <v>1</v>
      </c>
      <c r="I10" s="2" t="str">
        <f t="shared" ca="1" si="5"/>
        <v>No</v>
      </c>
      <c r="J10" s="2" t="str">
        <f t="shared" ca="1" si="0"/>
        <v>7-12 Months</v>
      </c>
    </row>
    <row r="11" spans="1:10" x14ac:dyDescent="0.5">
      <c r="A11" s="2" t="s">
        <v>18</v>
      </c>
      <c r="B11" s="2">
        <f t="shared" ca="1" si="1"/>
        <v>45</v>
      </c>
      <c r="C11" s="2" t="s">
        <v>60</v>
      </c>
      <c r="D11" s="2" t="s">
        <v>63</v>
      </c>
      <c r="E11" s="2" t="s">
        <v>65</v>
      </c>
      <c r="F11" s="2">
        <f t="shared" ca="1" si="2"/>
        <v>4</v>
      </c>
      <c r="G11" s="3">
        <f t="shared" si="3"/>
        <v>599</v>
      </c>
      <c r="H11" s="2">
        <f t="shared" ca="1" si="4"/>
        <v>1</v>
      </c>
      <c r="I11" s="2" t="str">
        <f t="shared" ca="1" si="5"/>
        <v>Yes</v>
      </c>
      <c r="J11" s="2" t="str">
        <f t="shared" ca="1" si="0"/>
        <v>0-6 Months</v>
      </c>
    </row>
    <row r="12" spans="1:10" x14ac:dyDescent="0.5">
      <c r="A12" s="2" t="s">
        <v>19</v>
      </c>
      <c r="B12" s="2">
        <f t="shared" ca="1" si="1"/>
        <v>30</v>
      </c>
      <c r="C12" s="2" t="s">
        <v>59</v>
      </c>
      <c r="D12" s="2" t="s">
        <v>64</v>
      </c>
      <c r="E12" s="2" t="s">
        <v>65</v>
      </c>
      <c r="F12" s="2">
        <f t="shared" ca="1" si="2"/>
        <v>15</v>
      </c>
      <c r="G12" s="3">
        <f t="shared" si="3"/>
        <v>599</v>
      </c>
      <c r="H12" s="2">
        <f t="shared" ca="1" si="4"/>
        <v>4</v>
      </c>
      <c r="I12" s="2" t="str">
        <f t="shared" ca="1" si="5"/>
        <v>Yes</v>
      </c>
      <c r="J12" s="2" t="str">
        <f t="shared" ca="1" si="0"/>
        <v>13+ Months</v>
      </c>
    </row>
    <row r="13" spans="1:10" x14ac:dyDescent="0.5">
      <c r="A13" s="2" t="s">
        <v>20</v>
      </c>
      <c r="B13" s="2">
        <f t="shared" ca="1" si="1"/>
        <v>35</v>
      </c>
      <c r="C13" s="2" t="s">
        <v>60</v>
      </c>
      <c r="D13" s="2" t="s">
        <v>61</v>
      </c>
      <c r="E13" s="2" t="s">
        <v>65</v>
      </c>
      <c r="F13" s="2">
        <f t="shared" ca="1" si="2"/>
        <v>22</v>
      </c>
      <c r="G13" s="3">
        <f t="shared" si="3"/>
        <v>599</v>
      </c>
      <c r="H13" s="2">
        <f t="shared" ca="1" si="4"/>
        <v>2</v>
      </c>
      <c r="I13" s="2" t="str">
        <f t="shared" ca="1" si="5"/>
        <v>No</v>
      </c>
      <c r="J13" s="2" t="str">
        <f t="shared" ca="1" si="0"/>
        <v>13+ Months</v>
      </c>
    </row>
    <row r="14" spans="1:10" x14ac:dyDescent="0.5">
      <c r="A14" s="2" t="s">
        <v>21</v>
      </c>
      <c r="B14" s="2">
        <f t="shared" ca="1" si="1"/>
        <v>59</v>
      </c>
      <c r="C14" s="2" t="s">
        <v>59</v>
      </c>
      <c r="D14" s="2" t="s">
        <v>62</v>
      </c>
      <c r="E14" s="2" t="s">
        <v>65</v>
      </c>
      <c r="F14" s="2">
        <f t="shared" ca="1" si="2"/>
        <v>7</v>
      </c>
      <c r="G14" s="3">
        <f t="shared" si="3"/>
        <v>599</v>
      </c>
      <c r="H14" s="2">
        <f t="shared" ca="1" si="4"/>
        <v>0</v>
      </c>
      <c r="I14" s="2" t="str">
        <f t="shared" ca="1" si="5"/>
        <v>No</v>
      </c>
      <c r="J14" s="2" t="str">
        <f t="shared" ca="1" si="0"/>
        <v>7-12 Months</v>
      </c>
    </row>
    <row r="15" spans="1:10" x14ac:dyDescent="0.5">
      <c r="A15" s="2" t="s">
        <v>22</v>
      </c>
      <c r="B15" s="2">
        <f t="shared" ca="1" si="1"/>
        <v>48</v>
      </c>
      <c r="C15" s="2" t="s">
        <v>60</v>
      </c>
      <c r="D15" s="2" t="s">
        <v>62</v>
      </c>
      <c r="E15" s="2" t="s">
        <v>65</v>
      </c>
      <c r="F15" s="2">
        <f t="shared" ca="1" si="2"/>
        <v>18</v>
      </c>
      <c r="G15" s="3">
        <f t="shared" si="3"/>
        <v>599</v>
      </c>
      <c r="H15" s="2">
        <f t="shared" ca="1" si="4"/>
        <v>1</v>
      </c>
      <c r="I15" s="2" t="str">
        <f t="shared" ca="1" si="5"/>
        <v>No</v>
      </c>
      <c r="J15" s="2" t="str">
        <f t="shared" ca="1" si="0"/>
        <v>13+ Months</v>
      </c>
    </row>
    <row r="16" spans="1:10" x14ac:dyDescent="0.5">
      <c r="A16" s="2" t="s">
        <v>23</v>
      </c>
      <c r="B16" s="2">
        <f t="shared" ca="1" si="1"/>
        <v>29</v>
      </c>
      <c r="C16" s="2" t="s">
        <v>59</v>
      </c>
      <c r="D16" s="2" t="s">
        <v>63</v>
      </c>
      <c r="E16" s="2" t="s">
        <v>66</v>
      </c>
      <c r="F16" s="2">
        <f t="shared" ca="1" si="2"/>
        <v>23</v>
      </c>
      <c r="G16" s="3">
        <f t="shared" si="3"/>
        <v>1299</v>
      </c>
      <c r="H16" s="2">
        <f t="shared" ca="1" si="4"/>
        <v>6</v>
      </c>
      <c r="I16" s="2" t="str">
        <f t="shared" ca="1" si="5"/>
        <v>Yes</v>
      </c>
      <c r="J16" s="2" t="str">
        <f t="shared" ca="1" si="0"/>
        <v>13+ Months</v>
      </c>
    </row>
    <row r="17" spans="1:10" x14ac:dyDescent="0.5">
      <c r="A17" s="2" t="s">
        <v>24</v>
      </c>
      <c r="B17" s="2">
        <f t="shared" ca="1" si="1"/>
        <v>52</v>
      </c>
      <c r="C17" s="2" t="s">
        <v>59</v>
      </c>
      <c r="D17" s="2" t="s">
        <v>63</v>
      </c>
      <c r="E17" s="2" t="s">
        <v>66</v>
      </c>
      <c r="F17" s="2">
        <f t="shared" ca="1" si="2"/>
        <v>3</v>
      </c>
      <c r="G17" s="3">
        <f t="shared" si="3"/>
        <v>1299</v>
      </c>
      <c r="H17" s="2">
        <f t="shared" ca="1" si="4"/>
        <v>1</v>
      </c>
      <c r="I17" s="2" t="str">
        <f t="shared" ca="1" si="5"/>
        <v>Yes</v>
      </c>
      <c r="J17" s="2" t="str">
        <f t="shared" ca="1" si="0"/>
        <v>0-6 Months</v>
      </c>
    </row>
    <row r="18" spans="1:10" x14ac:dyDescent="0.5">
      <c r="A18" s="2" t="s">
        <v>25</v>
      </c>
      <c r="B18" s="2">
        <f t="shared" ca="1" si="1"/>
        <v>59</v>
      </c>
      <c r="C18" s="2" t="s">
        <v>60</v>
      </c>
      <c r="D18" s="2" t="s">
        <v>63</v>
      </c>
      <c r="E18" s="2" t="s">
        <v>66</v>
      </c>
      <c r="F18" s="2">
        <f t="shared" ca="1" si="2"/>
        <v>23</v>
      </c>
      <c r="G18" s="3">
        <f t="shared" si="3"/>
        <v>1299</v>
      </c>
      <c r="H18" s="2">
        <f t="shared" ca="1" si="4"/>
        <v>1</v>
      </c>
      <c r="I18" s="2" t="str">
        <f t="shared" ca="1" si="5"/>
        <v>No</v>
      </c>
      <c r="J18" s="2" t="str">
        <f t="shared" ca="1" si="0"/>
        <v>13+ Months</v>
      </c>
    </row>
    <row r="19" spans="1:10" x14ac:dyDescent="0.5">
      <c r="A19" s="2" t="s">
        <v>26</v>
      </c>
      <c r="B19" s="2">
        <f t="shared" ca="1" si="1"/>
        <v>30</v>
      </c>
      <c r="C19" s="2" t="s">
        <v>59</v>
      </c>
      <c r="D19" s="2" t="s">
        <v>61</v>
      </c>
      <c r="E19" s="2" t="s">
        <v>66</v>
      </c>
      <c r="F19" s="2">
        <f t="shared" ca="1" si="2"/>
        <v>23</v>
      </c>
      <c r="G19" s="3">
        <f t="shared" si="3"/>
        <v>1299</v>
      </c>
      <c r="H19" s="2">
        <f t="shared" ca="1" si="4"/>
        <v>2</v>
      </c>
      <c r="I19" s="2" t="str">
        <f t="shared" ca="1" si="5"/>
        <v>No</v>
      </c>
      <c r="J19" s="2" t="str">
        <f t="shared" ca="1" si="0"/>
        <v>13+ Months</v>
      </c>
    </row>
    <row r="20" spans="1:10" x14ac:dyDescent="0.5">
      <c r="A20" s="2" t="s">
        <v>27</v>
      </c>
      <c r="B20" s="2">
        <f t="shared" ca="1" si="1"/>
        <v>57</v>
      </c>
      <c r="C20" s="2" t="s">
        <v>60</v>
      </c>
      <c r="D20" s="2" t="s">
        <v>61</v>
      </c>
      <c r="E20" s="2" t="s">
        <v>66</v>
      </c>
      <c r="F20" s="2">
        <f t="shared" ca="1" si="2"/>
        <v>17</v>
      </c>
      <c r="G20" s="3">
        <f t="shared" si="3"/>
        <v>1299</v>
      </c>
      <c r="H20" s="2">
        <f t="shared" ca="1" si="4"/>
        <v>0</v>
      </c>
      <c r="I20" s="2" t="str">
        <f t="shared" ca="1" si="5"/>
        <v>No</v>
      </c>
      <c r="J20" s="2" t="str">
        <f t="shared" ca="1" si="0"/>
        <v>13+ Months</v>
      </c>
    </row>
    <row r="21" spans="1:10" x14ac:dyDescent="0.5">
      <c r="A21" s="2" t="s">
        <v>28</v>
      </c>
      <c r="B21" s="2">
        <f t="shared" ca="1" si="1"/>
        <v>60</v>
      </c>
      <c r="C21" s="2" t="s">
        <v>60</v>
      </c>
      <c r="D21" s="2" t="s">
        <v>62</v>
      </c>
      <c r="E21" s="2" t="s">
        <v>66</v>
      </c>
      <c r="F21" s="2">
        <f t="shared" ca="1" si="2"/>
        <v>17</v>
      </c>
      <c r="G21" s="3">
        <f t="shared" si="3"/>
        <v>1299</v>
      </c>
      <c r="H21" s="2">
        <f t="shared" ca="1" si="4"/>
        <v>1</v>
      </c>
      <c r="I21" s="2" t="str">
        <f t="shared" ca="1" si="5"/>
        <v>No</v>
      </c>
      <c r="J21" s="2" t="str">
        <f t="shared" ca="1" si="0"/>
        <v>13+ Months</v>
      </c>
    </row>
    <row r="22" spans="1:10" x14ac:dyDescent="0.5">
      <c r="A22" s="2" t="s">
        <v>29</v>
      </c>
      <c r="B22" s="2">
        <f t="shared" ca="1" si="1"/>
        <v>32</v>
      </c>
      <c r="C22" s="2" t="s">
        <v>59</v>
      </c>
      <c r="D22" s="2" t="s">
        <v>63</v>
      </c>
      <c r="E22" s="2" t="s">
        <v>66</v>
      </c>
      <c r="F22" s="2">
        <f t="shared" ca="1" si="2"/>
        <v>23</v>
      </c>
      <c r="G22" s="3">
        <f t="shared" si="3"/>
        <v>1299</v>
      </c>
      <c r="H22" s="2">
        <f t="shared" ca="1" si="4"/>
        <v>1</v>
      </c>
      <c r="I22" s="2" t="str">
        <f t="shared" ca="1" si="5"/>
        <v>No</v>
      </c>
      <c r="J22" s="2" t="str">
        <f t="shared" ca="1" si="0"/>
        <v>13+ Months</v>
      </c>
    </row>
    <row r="23" spans="1:10" x14ac:dyDescent="0.5">
      <c r="A23" s="2" t="s">
        <v>30</v>
      </c>
      <c r="B23" s="2">
        <f t="shared" ca="1" si="1"/>
        <v>57</v>
      </c>
      <c r="C23" s="2" t="s">
        <v>59</v>
      </c>
      <c r="D23" s="2" t="s">
        <v>63</v>
      </c>
      <c r="E23" s="2" t="s">
        <v>65</v>
      </c>
      <c r="F23" s="2">
        <f t="shared" ca="1" si="2"/>
        <v>24</v>
      </c>
      <c r="G23" s="3">
        <f t="shared" si="3"/>
        <v>599</v>
      </c>
      <c r="H23" s="2">
        <f t="shared" ca="1" si="4"/>
        <v>1</v>
      </c>
      <c r="I23" s="2" t="str">
        <f t="shared" ca="1" si="5"/>
        <v>No</v>
      </c>
      <c r="J23" s="2" t="str">
        <f t="shared" ca="1" si="0"/>
        <v>13+ Months</v>
      </c>
    </row>
    <row r="24" spans="1:10" x14ac:dyDescent="0.5">
      <c r="A24" s="2" t="s">
        <v>31</v>
      </c>
      <c r="B24" s="2">
        <f t="shared" ca="1" si="1"/>
        <v>40</v>
      </c>
      <c r="C24" s="2" t="s">
        <v>60</v>
      </c>
      <c r="D24" s="2" t="s">
        <v>61</v>
      </c>
      <c r="E24" s="2" t="s">
        <v>65</v>
      </c>
      <c r="F24" s="2">
        <f t="shared" ca="1" si="2"/>
        <v>1</v>
      </c>
      <c r="G24" s="3">
        <f t="shared" si="3"/>
        <v>599</v>
      </c>
      <c r="H24" s="2">
        <f t="shared" ca="1" si="4"/>
        <v>6</v>
      </c>
      <c r="I24" s="2" t="str">
        <f t="shared" ca="1" si="5"/>
        <v>Yes</v>
      </c>
      <c r="J24" s="2" t="str">
        <f t="shared" ca="1" si="0"/>
        <v>0-6 Months</v>
      </c>
    </row>
    <row r="25" spans="1:10" x14ac:dyDescent="0.5">
      <c r="A25" s="2" t="s">
        <v>32</v>
      </c>
      <c r="B25" s="2">
        <f t="shared" ca="1" si="1"/>
        <v>42</v>
      </c>
      <c r="C25" s="2" t="s">
        <v>60</v>
      </c>
      <c r="D25" s="2" t="s">
        <v>63</v>
      </c>
      <c r="E25" s="2" t="s">
        <v>65</v>
      </c>
      <c r="F25" s="2">
        <f t="shared" ca="1" si="2"/>
        <v>17</v>
      </c>
      <c r="G25" s="3">
        <f t="shared" si="3"/>
        <v>599</v>
      </c>
      <c r="H25" s="2">
        <f t="shared" ca="1" si="4"/>
        <v>5</v>
      </c>
      <c r="I25" s="2" t="str">
        <f t="shared" ca="1" si="5"/>
        <v>Yes</v>
      </c>
      <c r="J25" s="2" t="str">
        <f t="shared" ca="1" si="0"/>
        <v>13+ Months</v>
      </c>
    </row>
    <row r="26" spans="1:10" x14ac:dyDescent="0.5">
      <c r="A26" s="2" t="s">
        <v>33</v>
      </c>
      <c r="B26" s="2">
        <f t="shared" ca="1" si="1"/>
        <v>21</v>
      </c>
      <c r="C26" s="2" t="s">
        <v>59</v>
      </c>
      <c r="D26" s="2" t="s">
        <v>63</v>
      </c>
      <c r="E26" s="2" t="s">
        <v>65</v>
      </c>
      <c r="F26" s="2">
        <f t="shared" ca="1" si="2"/>
        <v>14</v>
      </c>
      <c r="G26" s="3">
        <f t="shared" si="3"/>
        <v>599</v>
      </c>
      <c r="H26" s="2">
        <f t="shared" ca="1" si="4"/>
        <v>5</v>
      </c>
      <c r="I26" s="2" t="str">
        <f t="shared" ca="1" si="5"/>
        <v>Yes</v>
      </c>
      <c r="J26" s="2" t="str">
        <f t="shared" ca="1" si="0"/>
        <v>13+ Months</v>
      </c>
    </row>
    <row r="27" spans="1:10" x14ac:dyDescent="0.5">
      <c r="A27" s="2" t="s">
        <v>34</v>
      </c>
      <c r="B27" s="2">
        <f t="shared" ca="1" si="1"/>
        <v>49</v>
      </c>
      <c r="C27" s="2" t="s">
        <v>59</v>
      </c>
      <c r="D27" s="2" t="s">
        <v>64</v>
      </c>
      <c r="E27" s="2" t="s">
        <v>66</v>
      </c>
      <c r="F27" s="2">
        <f t="shared" ca="1" si="2"/>
        <v>6</v>
      </c>
      <c r="G27" s="3">
        <f t="shared" si="3"/>
        <v>1299</v>
      </c>
      <c r="H27" s="2">
        <f t="shared" ca="1" si="4"/>
        <v>5</v>
      </c>
      <c r="I27" s="2" t="str">
        <f t="shared" ca="1" si="5"/>
        <v>Yes</v>
      </c>
      <c r="J27" s="2" t="str">
        <f t="shared" ca="1" si="0"/>
        <v>0-6 Months</v>
      </c>
    </row>
    <row r="28" spans="1:10" x14ac:dyDescent="0.5">
      <c r="A28" s="2" t="s">
        <v>35</v>
      </c>
      <c r="B28" s="2">
        <f t="shared" ca="1" si="1"/>
        <v>45</v>
      </c>
      <c r="C28" s="2" t="s">
        <v>60</v>
      </c>
      <c r="D28" s="2" t="s">
        <v>64</v>
      </c>
      <c r="E28" s="2" t="s">
        <v>66</v>
      </c>
      <c r="F28" s="2">
        <f t="shared" ca="1" si="2"/>
        <v>2</v>
      </c>
      <c r="G28" s="3">
        <f t="shared" si="3"/>
        <v>1299</v>
      </c>
      <c r="H28" s="2">
        <f t="shared" ca="1" si="4"/>
        <v>2</v>
      </c>
      <c r="I28" s="2" t="str">
        <f t="shared" ca="1" si="5"/>
        <v>Yes</v>
      </c>
      <c r="J28" s="2" t="str">
        <f t="shared" ca="1" si="0"/>
        <v>0-6 Months</v>
      </c>
    </row>
    <row r="29" spans="1:10" x14ac:dyDescent="0.5">
      <c r="A29" s="2" t="s">
        <v>36</v>
      </c>
      <c r="B29" s="2">
        <f t="shared" ca="1" si="1"/>
        <v>53</v>
      </c>
      <c r="C29" s="2" t="s">
        <v>60</v>
      </c>
      <c r="D29" s="2" t="s">
        <v>64</v>
      </c>
      <c r="E29" s="2" t="s">
        <v>66</v>
      </c>
      <c r="F29" s="2">
        <f t="shared" ca="1" si="2"/>
        <v>10</v>
      </c>
      <c r="G29" s="3">
        <f t="shared" si="3"/>
        <v>1299</v>
      </c>
      <c r="H29" s="2">
        <f t="shared" ca="1" si="4"/>
        <v>0</v>
      </c>
      <c r="I29" s="2" t="str">
        <f t="shared" ca="1" si="5"/>
        <v>No</v>
      </c>
      <c r="J29" s="2" t="str">
        <f t="shared" ca="1" si="0"/>
        <v>7-12 Months</v>
      </c>
    </row>
    <row r="30" spans="1:10" x14ac:dyDescent="0.5">
      <c r="A30" s="2" t="s">
        <v>37</v>
      </c>
      <c r="B30" s="2">
        <f t="shared" ca="1" si="1"/>
        <v>33</v>
      </c>
      <c r="C30" s="2" t="s">
        <v>59</v>
      </c>
      <c r="D30" s="2" t="s">
        <v>64</v>
      </c>
      <c r="E30" s="2" t="s">
        <v>66</v>
      </c>
      <c r="F30" s="2">
        <f t="shared" ca="1" si="2"/>
        <v>14</v>
      </c>
      <c r="G30" s="3">
        <f t="shared" si="3"/>
        <v>1299</v>
      </c>
      <c r="H30" s="2">
        <f t="shared" ca="1" si="4"/>
        <v>4</v>
      </c>
      <c r="I30" s="2" t="str">
        <f t="shared" ca="1" si="5"/>
        <v>Yes</v>
      </c>
      <c r="J30" s="2" t="str">
        <f t="shared" ca="1" si="0"/>
        <v>13+ Months</v>
      </c>
    </row>
    <row r="31" spans="1:10" x14ac:dyDescent="0.5">
      <c r="A31" s="2" t="s">
        <v>38</v>
      </c>
      <c r="B31" s="2">
        <f t="shared" ca="1" si="1"/>
        <v>45</v>
      </c>
      <c r="C31" s="2" t="s">
        <v>59</v>
      </c>
      <c r="D31" s="2" t="s">
        <v>63</v>
      </c>
      <c r="E31" s="2" t="s">
        <v>66</v>
      </c>
      <c r="F31" s="2">
        <f t="shared" ca="1" si="2"/>
        <v>10</v>
      </c>
      <c r="G31" s="3">
        <f t="shared" si="3"/>
        <v>1299</v>
      </c>
      <c r="H31" s="2">
        <f t="shared" ca="1" si="4"/>
        <v>1</v>
      </c>
      <c r="I31" s="2" t="str">
        <f t="shared" ca="1" si="5"/>
        <v>No</v>
      </c>
      <c r="J31" s="2" t="str">
        <f t="shared" ca="1" si="0"/>
        <v>7-12 Months</v>
      </c>
    </row>
    <row r="32" spans="1:10" x14ac:dyDescent="0.5">
      <c r="A32" s="2" t="s">
        <v>39</v>
      </c>
      <c r="B32" s="2">
        <f t="shared" ca="1" si="1"/>
        <v>59</v>
      </c>
      <c r="C32" s="2" t="s">
        <v>60</v>
      </c>
      <c r="D32" s="2" t="s">
        <v>63</v>
      </c>
      <c r="E32" s="2" t="s">
        <v>66</v>
      </c>
      <c r="F32" s="2">
        <f t="shared" ca="1" si="2"/>
        <v>16</v>
      </c>
      <c r="G32" s="3">
        <f t="shared" si="3"/>
        <v>1299</v>
      </c>
      <c r="H32" s="2">
        <f t="shared" ca="1" si="4"/>
        <v>3</v>
      </c>
      <c r="I32" s="2" t="str">
        <f t="shared" ca="1" si="5"/>
        <v>No</v>
      </c>
      <c r="J32" s="2" t="str">
        <f t="shared" ca="1" si="0"/>
        <v>13+ Months</v>
      </c>
    </row>
    <row r="33" spans="1:10" x14ac:dyDescent="0.5">
      <c r="A33" s="2" t="s">
        <v>40</v>
      </c>
      <c r="B33" s="2">
        <f t="shared" ca="1" si="1"/>
        <v>51</v>
      </c>
      <c r="C33" s="2" t="s">
        <v>59</v>
      </c>
      <c r="D33" s="2" t="s">
        <v>63</v>
      </c>
      <c r="E33" s="2" t="s">
        <v>66</v>
      </c>
      <c r="F33" s="2">
        <f t="shared" ca="1" si="2"/>
        <v>11</v>
      </c>
      <c r="G33" s="3">
        <f t="shared" si="3"/>
        <v>1299</v>
      </c>
      <c r="H33" s="2">
        <f t="shared" ca="1" si="4"/>
        <v>4</v>
      </c>
      <c r="I33" s="2" t="str">
        <f t="shared" ca="1" si="5"/>
        <v>Yes</v>
      </c>
      <c r="J33" s="2" t="str">
        <f t="shared" ca="1" si="0"/>
        <v>7-12 Months</v>
      </c>
    </row>
    <row r="34" spans="1:10" x14ac:dyDescent="0.5">
      <c r="A34" s="2" t="s">
        <v>41</v>
      </c>
      <c r="B34" s="2">
        <f t="shared" ca="1" si="1"/>
        <v>53</v>
      </c>
      <c r="C34" s="2" t="s">
        <v>59</v>
      </c>
      <c r="D34" s="2" t="s">
        <v>61</v>
      </c>
      <c r="E34" s="2" t="s">
        <v>66</v>
      </c>
      <c r="F34" s="2">
        <f t="shared" ca="1" si="2"/>
        <v>7</v>
      </c>
      <c r="G34" s="3">
        <f t="shared" si="3"/>
        <v>1299</v>
      </c>
      <c r="H34" s="2">
        <f t="shared" ca="1" si="4"/>
        <v>0</v>
      </c>
      <c r="I34" s="2" t="str">
        <f t="shared" ca="1" si="5"/>
        <v>No</v>
      </c>
      <c r="J34" s="2" t="str">
        <f t="shared" ref="J34:J51" ca="1" si="6">IF(F34&lt;=6,"0-6 Months",IF(F34&lt;=12,"7-12 Months","13+ Months"))</f>
        <v>7-12 Months</v>
      </c>
    </row>
    <row r="35" spans="1:10" x14ac:dyDescent="0.5">
      <c r="A35" s="2" t="s">
        <v>42</v>
      </c>
      <c r="B35" s="2">
        <f t="shared" ca="1" si="1"/>
        <v>33</v>
      </c>
      <c r="C35" s="2" t="s">
        <v>59</v>
      </c>
      <c r="D35" s="2" t="s">
        <v>61</v>
      </c>
      <c r="E35" s="2" t="s">
        <v>66</v>
      </c>
      <c r="F35" s="2">
        <f t="shared" ca="1" si="2"/>
        <v>7</v>
      </c>
      <c r="G35" s="3">
        <f t="shared" si="3"/>
        <v>1299</v>
      </c>
      <c r="H35" s="2">
        <f t="shared" ca="1" si="4"/>
        <v>4</v>
      </c>
      <c r="I35" s="2" t="str">
        <f t="shared" ca="1" si="5"/>
        <v>Yes</v>
      </c>
      <c r="J35" s="2" t="str">
        <f t="shared" ca="1" si="6"/>
        <v>7-12 Months</v>
      </c>
    </row>
    <row r="36" spans="1:10" x14ac:dyDescent="0.5">
      <c r="A36" s="2" t="s">
        <v>43</v>
      </c>
      <c r="B36" s="2">
        <f t="shared" ca="1" si="1"/>
        <v>54</v>
      </c>
      <c r="C36" s="2" t="s">
        <v>60</v>
      </c>
      <c r="D36" s="2" t="s">
        <v>62</v>
      </c>
      <c r="E36" s="2" t="s">
        <v>65</v>
      </c>
      <c r="F36" s="2">
        <f t="shared" ca="1" si="2"/>
        <v>1</v>
      </c>
      <c r="G36" s="3">
        <f t="shared" si="3"/>
        <v>599</v>
      </c>
      <c r="H36" s="2">
        <f t="shared" ca="1" si="4"/>
        <v>2</v>
      </c>
      <c r="I36" s="2" t="str">
        <f t="shared" ca="1" si="5"/>
        <v>Yes</v>
      </c>
      <c r="J36" s="2" t="str">
        <f t="shared" ca="1" si="6"/>
        <v>0-6 Months</v>
      </c>
    </row>
    <row r="37" spans="1:10" x14ac:dyDescent="0.5">
      <c r="A37" s="2" t="s">
        <v>44</v>
      </c>
      <c r="B37" s="2">
        <f t="shared" ca="1" si="1"/>
        <v>46</v>
      </c>
      <c r="C37" s="2" t="s">
        <v>60</v>
      </c>
      <c r="D37" s="2" t="s">
        <v>63</v>
      </c>
      <c r="E37" s="2" t="s">
        <v>65</v>
      </c>
      <c r="F37" s="2">
        <f t="shared" ca="1" si="2"/>
        <v>12</v>
      </c>
      <c r="G37" s="3">
        <f t="shared" si="3"/>
        <v>599</v>
      </c>
      <c r="H37" s="2">
        <f t="shared" ca="1" si="4"/>
        <v>3</v>
      </c>
      <c r="I37" s="2" t="str">
        <f t="shared" ca="1" si="5"/>
        <v>No</v>
      </c>
      <c r="J37" s="2" t="str">
        <f t="shared" ca="1" si="6"/>
        <v>7-12 Months</v>
      </c>
    </row>
    <row r="38" spans="1:10" x14ac:dyDescent="0.5">
      <c r="A38" s="2" t="s">
        <v>45</v>
      </c>
      <c r="B38" s="2">
        <f t="shared" ca="1" si="1"/>
        <v>22</v>
      </c>
      <c r="C38" s="2" t="s">
        <v>60</v>
      </c>
      <c r="D38" s="2" t="s">
        <v>63</v>
      </c>
      <c r="E38" s="2" t="s">
        <v>65</v>
      </c>
      <c r="F38" s="2">
        <f t="shared" ca="1" si="2"/>
        <v>24</v>
      </c>
      <c r="G38" s="3">
        <f t="shared" si="3"/>
        <v>599</v>
      </c>
      <c r="H38" s="2">
        <f t="shared" ca="1" si="4"/>
        <v>0</v>
      </c>
      <c r="I38" s="2" t="str">
        <f t="shared" ca="1" si="5"/>
        <v>No</v>
      </c>
      <c r="J38" s="2" t="str">
        <f t="shared" ca="1" si="6"/>
        <v>13+ Months</v>
      </c>
    </row>
    <row r="39" spans="1:10" x14ac:dyDescent="0.5">
      <c r="A39" s="2" t="s">
        <v>46</v>
      </c>
      <c r="B39" s="2">
        <f t="shared" ca="1" si="1"/>
        <v>49</v>
      </c>
      <c r="C39" s="2" t="s">
        <v>60</v>
      </c>
      <c r="D39" s="2" t="s">
        <v>61</v>
      </c>
      <c r="E39" s="2" t="s">
        <v>65</v>
      </c>
      <c r="F39" s="2">
        <f t="shared" ca="1" si="2"/>
        <v>2</v>
      </c>
      <c r="G39" s="3">
        <f t="shared" si="3"/>
        <v>599</v>
      </c>
      <c r="H39" s="2">
        <f t="shared" ca="1" si="4"/>
        <v>3</v>
      </c>
      <c r="I39" s="2" t="str">
        <f t="shared" ca="1" si="5"/>
        <v>Yes</v>
      </c>
      <c r="J39" s="2" t="str">
        <f t="shared" ca="1" si="6"/>
        <v>0-6 Months</v>
      </c>
    </row>
    <row r="40" spans="1:10" x14ac:dyDescent="0.5">
      <c r="A40" s="2" t="s">
        <v>47</v>
      </c>
      <c r="B40" s="2">
        <f t="shared" ca="1" si="1"/>
        <v>18</v>
      </c>
      <c r="C40" s="2" t="s">
        <v>59</v>
      </c>
      <c r="D40" s="2" t="s">
        <v>62</v>
      </c>
      <c r="E40" s="2" t="s">
        <v>65</v>
      </c>
      <c r="F40" s="2">
        <f t="shared" ca="1" si="2"/>
        <v>6</v>
      </c>
      <c r="G40" s="3">
        <f t="shared" si="3"/>
        <v>599</v>
      </c>
      <c r="H40" s="2">
        <f t="shared" ca="1" si="4"/>
        <v>6</v>
      </c>
      <c r="I40" s="2" t="str">
        <f t="shared" ca="1" si="5"/>
        <v>Yes</v>
      </c>
      <c r="J40" s="2" t="str">
        <f t="shared" ca="1" si="6"/>
        <v>0-6 Months</v>
      </c>
    </row>
    <row r="41" spans="1:10" x14ac:dyDescent="0.5">
      <c r="A41" s="2" t="s">
        <v>48</v>
      </c>
      <c r="B41" s="2">
        <f t="shared" ca="1" si="1"/>
        <v>31</v>
      </c>
      <c r="C41" s="2" t="s">
        <v>59</v>
      </c>
      <c r="D41" s="2" t="s">
        <v>64</v>
      </c>
      <c r="E41" s="2" t="s">
        <v>65</v>
      </c>
      <c r="F41" s="2">
        <f t="shared" ca="1" si="2"/>
        <v>5</v>
      </c>
      <c r="G41" s="3">
        <f t="shared" si="3"/>
        <v>599</v>
      </c>
      <c r="H41" s="2">
        <f t="shared" ca="1" si="4"/>
        <v>6</v>
      </c>
      <c r="I41" s="2" t="str">
        <f t="shared" ca="1" si="5"/>
        <v>Yes</v>
      </c>
      <c r="J41" s="2" t="str">
        <f t="shared" ca="1" si="6"/>
        <v>0-6 Months</v>
      </c>
    </row>
    <row r="42" spans="1:10" x14ac:dyDescent="0.5">
      <c r="A42" s="2" t="s">
        <v>49</v>
      </c>
      <c r="B42" s="2">
        <f t="shared" ca="1" si="1"/>
        <v>59</v>
      </c>
      <c r="C42" s="2" t="s">
        <v>60</v>
      </c>
      <c r="D42" s="2" t="s">
        <v>64</v>
      </c>
      <c r="E42" s="2" t="s">
        <v>65</v>
      </c>
      <c r="F42" s="2">
        <f t="shared" ca="1" si="2"/>
        <v>17</v>
      </c>
      <c r="G42" s="3">
        <f t="shared" si="3"/>
        <v>599</v>
      </c>
      <c r="H42" s="2">
        <f t="shared" ca="1" si="4"/>
        <v>5</v>
      </c>
      <c r="I42" s="2" t="str">
        <f t="shared" ca="1" si="5"/>
        <v>Yes</v>
      </c>
      <c r="J42" s="2" t="str">
        <f t="shared" ca="1" si="6"/>
        <v>13+ Months</v>
      </c>
    </row>
    <row r="43" spans="1:10" x14ac:dyDescent="0.5">
      <c r="A43" s="2" t="s">
        <v>50</v>
      </c>
      <c r="B43" s="2">
        <f t="shared" ca="1" si="1"/>
        <v>57</v>
      </c>
      <c r="C43" s="2" t="s">
        <v>59</v>
      </c>
      <c r="D43" s="2" t="s">
        <v>64</v>
      </c>
      <c r="E43" s="2" t="s">
        <v>65</v>
      </c>
      <c r="F43" s="2">
        <f t="shared" ca="1" si="2"/>
        <v>9</v>
      </c>
      <c r="G43" s="3">
        <f t="shared" si="3"/>
        <v>599</v>
      </c>
      <c r="H43" s="2">
        <f t="shared" ca="1" si="4"/>
        <v>2</v>
      </c>
      <c r="I43" s="2" t="str">
        <f t="shared" ca="1" si="5"/>
        <v>No</v>
      </c>
      <c r="J43" s="2" t="str">
        <f t="shared" ca="1" si="6"/>
        <v>7-12 Months</v>
      </c>
    </row>
    <row r="44" spans="1:10" x14ac:dyDescent="0.5">
      <c r="A44" s="2" t="s">
        <v>51</v>
      </c>
      <c r="B44" s="2">
        <f t="shared" ca="1" si="1"/>
        <v>26</v>
      </c>
      <c r="C44" s="2" t="s">
        <v>59</v>
      </c>
      <c r="D44" s="2" t="s">
        <v>64</v>
      </c>
      <c r="E44" s="2" t="s">
        <v>65</v>
      </c>
      <c r="F44" s="2">
        <f t="shared" ca="1" si="2"/>
        <v>23</v>
      </c>
      <c r="G44" s="3">
        <f t="shared" si="3"/>
        <v>599</v>
      </c>
      <c r="H44" s="2">
        <f t="shared" ca="1" si="4"/>
        <v>3</v>
      </c>
      <c r="I44" s="2" t="str">
        <f t="shared" ca="1" si="5"/>
        <v>No</v>
      </c>
      <c r="J44" s="2" t="str">
        <f t="shared" ca="1" si="6"/>
        <v>13+ Months</v>
      </c>
    </row>
    <row r="45" spans="1:10" x14ac:dyDescent="0.5">
      <c r="A45" s="2" t="s">
        <v>52</v>
      </c>
      <c r="B45" s="2">
        <f t="shared" ca="1" si="1"/>
        <v>48</v>
      </c>
      <c r="C45" s="2" t="s">
        <v>60</v>
      </c>
      <c r="D45" s="2" t="s">
        <v>64</v>
      </c>
      <c r="E45" s="2" t="s">
        <v>66</v>
      </c>
      <c r="F45" s="2">
        <f t="shared" ca="1" si="2"/>
        <v>22</v>
      </c>
      <c r="G45" s="3">
        <f t="shared" si="3"/>
        <v>1299</v>
      </c>
      <c r="H45" s="2">
        <f t="shared" ca="1" si="4"/>
        <v>4</v>
      </c>
      <c r="I45" s="2" t="str">
        <f t="shared" ca="1" si="5"/>
        <v>Yes</v>
      </c>
      <c r="J45" s="2" t="str">
        <f t="shared" ca="1" si="6"/>
        <v>13+ Months</v>
      </c>
    </row>
    <row r="46" spans="1:10" x14ac:dyDescent="0.5">
      <c r="A46" s="2" t="s">
        <v>53</v>
      </c>
      <c r="B46" s="2">
        <f t="shared" ca="1" si="1"/>
        <v>55</v>
      </c>
      <c r="C46" s="2" t="s">
        <v>60</v>
      </c>
      <c r="D46" s="2" t="s">
        <v>64</v>
      </c>
      <c r="E46" s="2" t="s">
        <v>66</v>
      </c>
      <c r="F46" s="2">
        <f t="shared" ca="1" si="2"/>
        <v>11</v>
      </c>
      <c r="G46" s="3">
        <f t="shared" si="3"/>
        <v>1299</v>
      </c>
      <c r="H46" s="2">
        <f t="shared" ca="1" si="4"/>
        <v>5</v>
      </c>
      <c r="I46" s="2" t="str">
        <f t="shared" ca="1" si="5"/>
        <v>Yes</v>
      </c>
      <c r="J46" s="2" t="str">
        <f t="shared" ca="1" si="6"/>
        <v>7-12 Months</v>
      </c>
    </row>
    <row r="47" spans="1:10" x14ac:dyDescent="0.5">
      <c r="A47" s="2" t="s">
        <v>54</v>
      </c>
      <c r="B47" s="2">
        <f t="shared" ca="1" si="1"/>
        <v>45</v>
      </c>
      <c r="C47" s="2" t="s">
        <v>59</v>
      </c>
      <c r="D47" s="2" t="s">
        <v>63</v>
      </c>
      <c r="E47" s="2" t="s">
        <v>66</v>
      </c>
      <c r="F47" s="2">
        <f t="shared" ca="1" si="2"/>
        <v>16</v>
      </c>
      <c r="G47" s="3">
        <f t="shared" si="3"/>
        <v>1299</v>
      </c>
      <c r="H47" s="2">
        <f t="shared" ca="1" si="4"/>
        <v>6</v>
      </c>
      <c r="I47" s="2" t="str">
        <f t="shared" ca="1" si="5"/>
        <v>Yes</v>
      </c>
      <c r="J47" s="2" t="str">
        <f t="shared" ca="1" si="6"/>
        <v>13+ Months</v>
      </c>
    </row>
    <row r="48" spans="1:10" x14ac:dyDescent="0.5">
      <c r="A48" s="2" t="s">
        <v>55</v>
      </c>
      <c r="B48" s="2">
        <f t="shared" ca="1" si="1"/>
        <v>25</v>
      </c>
      <c r="C48" s="2" t="s">
        <v>60</v>
      </c>
      <c r="D48" s="2" t="s">
        <v>63</v>
      </c>
      <c r="E48" s="2" t="s">
        <v>66</v>
      </c>
      <c r="F48" s="2">
        <f t="shared" ca="1" si="2"/>
        <v>12</v>
      </c>
      <c r="G48" s="3">
        <f t="shared" si="3"/>
        <v>1299</v>
      </c>
      <c r="H48" s="2">
        <f t="shared" ca="1" si="4"/>
        <v>0</v>
      </c>
      <c r="I48" s="2" t="str">
        <f t="shared" ca="1" si="5"/>
        <v>No</v>
      </c>
      <c r="J48" s="2" t="str">
        <f t="shared" ca="1" si="6"/>
        <v>7-12 Months</v>
      </c>
    </row>
    <row r="49" spans="1:10" x14ac:dyDescent="0.5">
      <c r="A49" s="2" t="s">
        <v>56</v>
      </c>
      <c r="B49" s="2">
        <f t="shared" ca="1" si="1"/>
        <v>37</v>
      </c>
      <c r="C49" s="2" t="s">
        <v>59</v>
      </c>
      <c r="D49" s="2" t="s">
        <v>63</v>
      </c>
      <c r="E49" s="2" t="s">
        <v>66</v>
      </c>
      <c r="F49" s="2">
        <f t="shared" ca="1" si="2"/>
        <v>3</v>
      </c>
      <c r="G49" s="3">
        <f t="shared" si="3"/>
        <v>1299</v>
      </c>
      <c r="H49" s="2">
        <f t="shared" ca="1" si="4"/>
        <v>5</v>
      </c>
      <c r="I49" s="2" t="str">
        <f t="shared" ca="1" si="5"/>
        <v>Yes</v>
      </c>
      <c r="J49" s="2" t="str">
        <f t="shared" ca="1" si="6"/>
        <v>0-6 Months</v>
      </c>
    </row>
    <row r="50" spans="1:10" x14ac:dyDescent="0.5">
      <c r="A50" s="2" t="s">
        <v>57</v>
      </c>
      <c r="B50" s="2">
        <f t="shared" ca="1" si="1"/>
        <v>39</v>
      </c>
      <c r="C50" s="2" t="s">
        <v>60</v>
      </c>
      <c r="D50" s="2" t="s">
        <v>63</v>
      </c>
      <c r="E50" s="2" t="s">
        <v>65</v>
      </c>
      <c r="F50" s="2">
        <f t="shared" ca="1" si="2"/>
        <v>23</v>
      </c>
      <c r="G50" s="3">
        <f t="shared" si="3"/>
        <v>599</v>
      </c>
      <c r="H50" s="2">
        <f t="shared" ca="1" si="4"/>
        <v>3</v>
      </c>
      <c r="I50" s="2" t="str">
        <f t="shared" ca="1" si="5"/>
        <v>No</v>
      </c>
      <c r="J50" s="2" t="str">
        <f t="shared" ca="1" si="6"/>
        <v>13+ Months</v>
      </c>
    </row>
    <row r="51" spans="1:10" x14ac:dyDescent="0.5">
      <c r="A51" s="2" t="s">
        <v>58</v>
      </c>
      <c r="B51" s="2">
        <f t="shared" ca="1" si="1"/>
        <v>40</v>
      </c>
      <c r="C51" s="2" t="s">
        <v>59</v>
      </c>
      <c r="D51" s="2" t="s">
        <v>61</v>
      </c>
      <c r="E51" s="2" t="s">
        <v>65</v>
      </c>
      <c r="F51" s="2">
        <f t="shared" ca="1" si="2"/>
        <v>22</v>
      </c>
      <c r="G51" s="3">
        <f t="shared" si="3"/>
        <v>599</v>
      </c>
      <c r="H51" s="2">
        <f t="shared" ca="1" si="4"/>
        <v>2</v>
      </c>
      <c r="I51" s="2" t="str">
        <f t="shared" ca="1" si="5"/>
        <v>No</v>
      </c>
      <c r="J51" s="2" t="str">
        <f t="shared" ca="1" si="6"/>
        <v>13+ Months</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83B1A-2D9F-4280-9FCB-2C375ED08170}">
  <dimension ref="A1:J26"/>
  <sheetViews>
    <sheetView topLeftCell="G1" workbookViewId="0">
      <selection activeCell="Q4" sqref="Q4"/>
    </sheetView>
  </sheetViews>
  <sheetFormatPr defaultRowHeight="14.25" x14ac:dyDescent="0.45"/>
  <cols>
    <col min="1" max="1" width="12.06640625" bestFit="1" customWidth="1"/>
    <col min="2" max="2" width="18.3984375" bestFit="1" customWidth="1"/>
    <col min="5" max="5" width="12.06640625" bestFit="1" customWidth="1"/>
    <col min="6" max="6" width="18.3984375" bestFit="1" customWidth="1"/>
    <col min="9" max="9" width="12.06640625" bestFit="1" customWidth="1"/>
    <col min="10" max="10" width="18.3984375" bestFit="1" customWidth="1"/>
    <col min="13" max="13" width="18.3984375" bestFit="1" customWidth="1"/>
    <col min="14" max="14" width="6.19921875" bestFit="1" customWidth="1"/>
    <col min="16" max="16" width="15.59765625" customWidth="1"/>
    <col min="17" max="17" width="20.59765625" customWidth="1"/>
  </cols>
  <sheetData>
    <row r="1" spans="1:10" x14ac:dyDescent="0.45">
      <c r="A1" s="4" t="s">
        <v>6</v>
      </c>
      <c r="B1" t="s">
        <v>70</v>
      </c>
      <c r="E1" s="4" t="s">
        <v>6</v>
      </c>
      <c r="F1" t="s">
        <v>70</v>
      </c>
      <c r="I1" s="4" t="s">
        <v>6</v>
      </c>
      <c r="J1" t="s">
        <v>70</v>
      </c>
    </row>
    <row r="3" spans="1:10" x14ac:dyDescent="0.45">
      <c r="A3" s="4" t="s">
        <v>67</v>
      </c>
      <c r="B3" t="s">
        <v>69</v>
      </c>
      <c r="E3" s="4" t="s">
        <v>67</v>
      </c>
      <c r="F3" t="s">
        <v>69</v>
      </c>
      <c r="I3" s="4" t="s">
        <v>67</v>
      </c>
      <c r="J3" t="s">
        <v>69</v>
      </c>
    </row>
    <row r="4" spans="1:10" x14ac:dyDescent="0.45">
      <c r="A4" s="5" t="s">
        <v>65</v>
      </c>
      <c r="B4" s="6">
        <v>13</v>
      </c>
      <c r="E4" s="5">
        <v>1</v>
      </c>
      <c r="F4" s="6">
        <v>4</v>
      </c>
      <c r="I4" s="5" t="s">
        <v>60</v>
      </c>
      <c r="J4" s="6">
        <v>13</v>
      </c>
    </row>
    <row r="5" spans="1:10" x14ac:dyDescent="0.45">
      <c r="A5" s="5" t="s">
        <v>66</v>
      </c>
      <c r="B5" s="6">
        <v>19</v>
      </c>
      <c r="E5" s="5">
        <v>3</v>
      </c>
      <c r="F5" s="6">
        <v>4</v>
      </c>
      <c r="I5" s="5" t="s">
        <v>59</v>
      </c>
      <c r="J5" s="6">
        <v>19</v>
      </c>
    </row>
    <row r="6" spans="1:10" x14ac:dyDescent="0.45">
      <c r="A6" s="5" t="s">
        <v>68</v>
      </c>
      <c r="B6" s="6">
        <v>32</v>
      </c>
      <c r="E6" s="5">
        <v>4</v>
      </c>
      <c r="F6" s="6">
        <v>3</v>
      </c>
      <c r="I6" s="5" t="s">
        <v>68</v>
      </c>
      <c r="J6" s="6">
        <v>32</v>
      </c>
    </row>
    <row r="7" spans="1:10" x14ac:dyDescent="0.45">
      <c r="E7" s="5">
        <v>5</v>
      </c>
      <c r="F7" s="6">
        <v>1</v>
      </c>
    </row>
    <row r="8" spans="1:10" x14ac:dyDescent="0.45">
      <c r="E8" s="5">
        <v>8</v>
      </c>
      <c r="F8" s="6">
        <v>1</v>
      </c>
    </row>
    <row r="9" spans="1:10" x14ac:dyDescent="0.45">
      <c r="A9" s="4" t="s">
        <v>6</v>
      </c>
      <c r="B9" t="s">
        <v>70</v>
      </c>
      <c r="E9" s="5">
        <v>9</v>
      </c>
      <c r="F9" s="6">
        <v>2</v>
      </c>
      <c r="I9" s="4" t="s">
        <v>67</v>
      </c>
      <c r="J9" t="s">
        <v>69</v>
      </c>
    </row>
    <row r="10" spans="1:10" x14ac:dyDescent="0.45">
      <c r="E10" s="5">
        <v>10</v>
      </c>
      <c r="F10" s="6">
        <v>2</v>
      </c>
      <c r="I10" s="5" t="s">
        <v>76</v>
      </c>
      <c r="J10" s="6">
        <v>18</v>
      </c>
    </row>
    <row r="11" spans="1:10" x14ac:dyDescent="0.45">
      <c r="A11" s="4" t="s">
        <v>67</v>
      </c>
      <c r="B11" t="s">
        <v>69</v>
      </c>
      <c r="E11" s="5">
        <v>11</v>
      </c>
      <c r="F11" s="6">
        <v>2</v>
      </c>
      <c r="I11" s="5" t="s">
        <v>70</v>
      </c>
      <c r="J11" s="6">
        <v>32</v>
      </c>
    </row>
    <row r="12" spans="1:10" x14ac:dyDescent="0.45">
      <c r="A12" s="5" t="s">
        <v>64</v>
      </c>
      <c r="B12" s="6">
        <v>9</v>
      </c>
      <c r="E12" s="5">
        <v>12</v>
      </c>
      <c r="F12" s="6">
        <v>1</v>
      </c>
      <c r="I12" s="5" t="s">
        <v>68</v>
      </c>
      <c r="J12" s="6">
        <v>50</v>
      </c>
    </row>
    <row r="13" spans="1:10" x14ac:dyDescent="0.45">
      <c r="A13" s="5" t="s">
        <v>61</v>
      </c>
      <c r="B13" s="6">
        <v>9</v>
      </c>
      <c r="E13" s="5">
        <v>13</v>
      </c>
      <c r="F13" s="6">
        <v>2</v>
      </c>
    </row>
    <row r="14" spans="1:10" x14ac:dyDescent="0.45">
      <c r="A14" s="5" t="s">
        <v>62</v>
      </c>
      <c r="B14" s="6">
        <v>3</v>
      </c>
      <c r="E14" s="5">
        <v>15</v>
      </c>
      <c r="F14" s="6">
        <v>3</v>
      </c>
    </row>
    <row r="15" spans="1:10" x14ac:dyDescent="0.45">
      <c r="A15" s="5" t="s">
        <v>63</v>
      </c>
      <c r="B15" s="6">
        <v>11</v>
      </c>
      <c r="E15" s="5">
        <v>16</v>
      </c>
      <c r="F15" s="6">
        <v>1</v>
      </c>
    </row>
    <row r="16" spans="1:10" x14ac:dyDescent="0.45">
      <c r="A16" s="5" t="s">
        <v>68</v>
      </c>
      <c r="B16" s="6">
        <v>32</v>
      </c>
      <c r="E16" s="5">
        <v>18</v>
      </c>
      <c r="F16" s="6">
        <v>1</v>
      </c>
    </row>
    <row r="17" spans="1:6" x14ac:dyDescent="0.45">
      <c r="E17" s="5">
        <v>19</v>
      </c>
      <c r="F17" s="6">
        <v>2</v>
      </c>
    </row>
    <row r="18" spans="1:6" x14ac:dyDescent="0.45">
      <c r="E18" s="5">
        <v>21</v>
      </c>
      <c r="F18" s="6">
        <v>2</v>
      </c>
    </row>
    <row r="19" spans="1:6" x14ac:dyDescent="0.45">
      <c r="E19" s="5">
        <v>24</v>
      </c>
      <c r="F19" s="6">
        <v>1</v>
      </c>
    </row>
    <row r="20" spans="1:6" x14ac:dyDescent="0.45">
      <c r="A20" s="4" t="s">
        <v>6</v>
      </c>
      <c r="B20" t="s" vm="1">
        <v>75</v>
      </c>
      <c r="E20" s="5" t="s">
        <v>68</v>
      </c>
      <c r="F20" s="6">
        <v>32</v>
      </c>
    </row>
    <row r="22" spans="1:6" x14ac:dyDescent="0.45">
      <c r="A22" s="4" t="s">
        <v>67</v>
      </c>
      <c r="B22" t="s">
        <v>69</v>
      </c>
    </row>
    <row r="23" spans="1:6" x14ac:dyDescent="0.45">
      <c r="A23" s="5" t="s">
        <v>72</v>
      </c>
      <c r="B23">
        <v>18</v>
      </c>
    </row>
    <row r="24" spans="1:6" x14ac:dyDescent="0.45">
      <c r="A24" s="5" t="s">
        <v>73</v>
      </c>
      <c r="B24">
        <v>23</v>
      </c>
    </row>
    <row r="25" spans="1:6" x14ac:dyDescent="0.45">
      <c r="A25" s="5" t="s">
        <v>74</v>
      </c>
      <c r="B25">
        <v>9</v>
      </c>
    </row>
    <row r="26" spans="1:6" x14ac:dyDescent="0.45">
      <c r="A26" s="5" t="s">
        <v>68</v>
      </c>
      <c r="B26">
        <v>50</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0EDD2-D052-4598-8B29-CFBCA080507E}">
  <dimension ref="D4:S76"/>
  <sheetViews>
    <sheetView showGridLines="0" tabSelected="1" topLeftCell="F53" zoomScale="112" zoomScaleNormal="112" workbookViewId="0">
      <selection activeCell="L66" sqref="L66"/>
    </sheetView>
  </sheetViews>
  <sheetFormatPr defaultRowHeight="14.25" x14ac:dyDescent="0.45"/>
  <cols>
    <col min="1" max="2" width="9.06640625" style="7"/>
    <col min="3" max="3" width="16.59765625" style="7" customWidth="1"/>
    <col min="4" max="5" width="20.59765625" style="7" customWidth="1"/>
    <col min="6" max="16384" width="9.06640625" style="7"/>
  </cols>
  <sheetData>
    <row r="4" spans="4:11" ht="20" customHeight="1" x14ac:dyDescent="0.75">
      <c r="E4" s="8" t="s">
        <v>78</v>
      </c>
      <c r="F4" s="8"/>
      <c r="G4" s="8"/>
      <c r="H4" s="8"/>
      <c r="I4" s="8"/>
      <c r="J4" s="8"/>
      <c r="K4" s="8"/>
    </row>
    <row r="6" spans="4:11" x14ac:dyDescent="0.45">
      <c r="D6" s="7" t="s">
        <v>77</v>
      </c>
    </row>
    <row r="62" spans="15:19" x14ac:dyDescent="0.45">
      <c r="O62" s="8"/>
      <c r="P62" s="8"/>
      <c r="Q62" s="8"/>
      <c r="R62" s="8"/>
      <c r="S62" s="8"/>
    </row>
    <row r="63" spans="15:19" x14ac:dyDescent="0.45">
      <c r="O63" s="8"/>
      <c r="P63" s="8"/>
      <c r="Q63" s="8"/>
      <c r="R63" s="8"/>
      <c r="S63" s="8"/>
    </row>
    <row r="64" spans="15:19" x14ac:dyDescent="0.45">
      <c r="O64" s="8"/>
      <c r="P64" s="8"/>
      <c r="Q64" s="8"/>
      <c r="R64" s="8"/>
      <c r="S64" s="8"/>
    </row>
    <row r="65" spans="15:19" x14ac:dyDescent="0.45">
      <c r="O65" s="8"/>
      <c r="P65" s="8"/>
      <c r="Q65" s="8"/>
      <c r="R65" s="8"/>
      <c r="S65" s="8"/>
    </row>
    <row r="66" spans="15:19" x14ac:dyDescent="0.45">
      <c r="O66" s="8"/>
      <c r="P66" s="8"/>
      <c r="Q66" s="8"/>
      <c r="R66" s="8"/>
      <c r="S66" s="8"/>
    </row>
    <row r="67" spans="15:19" x14ac:dyDescent="0.45">
      <c r="O67" s="8"/>
      <c r="P67" s="8"/>
      <c r="Q67" s="8"/>
      <c r="R67" s="8"/>
      <c r="S67" s="8"/>
    </row>
    <row r="68" spans="15:19" x14ac:dyDescent="0.45">
      <c r="O68" s="8"/>
      <c r="P68" s="8"/>
      <c r="Q68" s="8"/>
      <c r="R68" s="8"/>
      <c r="S68" s="8"/>
    </row>
    <row r="69" spans="15:19" x14ac:dyDescent="0.45">
      <c r="O69" s="8"/>
      <c r="P69" s="8"/>
      <c r="Q69" s="8"/>
      <c r="R69" s="8"/>
      <c r="S69" s="8"/>
    </row>
    <row r="70" spans="15:19" x14ac:dyDescent="0.45">
      <c r="O70" s="8"/>
      <c r="P70" s="8"/>
      <c r="Q70" s="8"/>
      <c r="R70" s="8"/>
      <c r="S70" s="8"/>
    </row>
    <row r="71" spans="15:19" x14ac:dyDescent="0.45">
      <c r="O71" s="8"/>
      <c r="P71" s="8"/>
      <c r="Q71" s="8"/>
      <c r="R71" s="8"/>
      <c r="S71" s="8"/>
    </row>
    <row r="72" spans="15:19" x14ac:dyDescent="0.45">
      <c r="O72" s="8"/>
      <c r="P72" s="8"/>
      <c r="Q72" s="8"/>
      <c r="R72" s="8"/>
      <c r="S72" s="8"/>
    </row>
    <row r="73" spans="15:19" x14ac:dyDescent="0.45">
      <c r="O73" s="8"/>
      <c r="P73" s="8"/>
      <c r="Q73" s="8"/>
      <c r="R73" s="8"/>
      <c r="S73" s="8"/>
    </row>
    <row r="74" spans="15:19" x14ac:dyDescent="0.45">
      <c r="O74" s="8"/>
      <c r="P74" s="8"/>
      <c r="Q74" s="8"/>
      <c r="R74" s="8"/>
      <c r="S74" s="8"/>
    </row>
    <row r="75" spans="15:19" x14ac:dyDescent="0.45">
      <c r="O75" s="8"/>
      <c r="P75" s="8"/>
      <c r="Q75" s="8"/>
      <c r="R75" s="8"/>
      <c r="S75" s="8"/>
    </row>
    <row r="76" spans="15:19" x14ac:dyDescent="0.45">
      <c r="O76" s="8"/>
      <c r="P76" s="8"/>
      <c r="Q76" s="8"/>
      <c r="R76" s="8"/>
      <c r="S76" s="8"/>
    </row>
  </sheetData>
  <mergeCells count="2">
    <mergeCell ref="E4:K4"/>
    <mergeCell ref="O62:S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Data_Set</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nikhilvelayudham07@gmail.com</dc:creator>
  <cp:lastModifiedBy>nikhilvelayudham07@gmail.com</cp:lastModifiedBy>
  <cp:lastPrinted>2026-06-14T07:21:23Z</cp:lastPrinted>
  <dcterms:created xsi:type="dcterms:W3CDTF">2026-06-12T16:27:07Z</dcterms:created>
  <dcterms:modified xsi:type="dcterms:W3CDTF">2026-06-15T06:58:13Z</dcterms:modified>
</cp:coreProperties>
</file>